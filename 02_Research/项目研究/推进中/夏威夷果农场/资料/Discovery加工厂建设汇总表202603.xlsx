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<sst xmlns="http://schemas.openxmlformats.org/spreadsheetml/2006/main" count="13" uniqueCount="13">
  <si>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Discovery 加工厂项目投资汇总（万澳元） </t>
  </si>
  <si>
    <t>编号</t>
  </si>
  <si>
    <t>名称</t>
  </si>
  <si>
    <t>预算总金额</t>
  </si>
  <si>
    <t>新装袋车间及电力系统升级改造（已投入）</t>
  </si>
  <si>
    <t>烘干车间及X-ray车间及装袋车间部分设备升级改造（已投入）</t>
  </si>
  <si>
    <t>X-ray分选机（已投入）</t>
  </si>
  <si>
    <t>果仁车间设备（已投入）</t>
  </si>
  <si>
    <t>果仁车间电力改造，进化车间搭建，办公室改造（已投入）</t>
  </si>
  <si>
    <t>Dehusking 车间升级改造预算（预算）</t>
  </si>
  <si>
    <t>77平米冷库建设（已投入）</t>
  </si>
  <si>
    <t>老加工厂期初投资（已投入）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</si>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</sst>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43" fontId="1" fillId="0" borderId="1" xfId="1" applyFont="1" applyBorder="1">
      <alignment vertical="center"/>
    </xf>
    <xf numFmtId="0" fontId="1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enovo\OneDrive\Working\2025\DFP%20buget\Cracking%20Plant%20Buge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"/>
      <sheetName val="投资汇总表"/>
      <sheetName val="DM-Cracking Plant cost"/>
      <sheetName val="新装袋车间及电力系统升级改造"/>
      <sheetName val="烘干车间及X-rey车间及装袋车间部分设备升级改造"/>
      <sheetName val="X-rey分选机"/>
      <sheetName val="果仁车间新建"/>
      <sheetName val="Dehuksing 车间升级改造"/>
      <sheetName val="DFP-Cracking Plant Expense "/>
    </sheetNames>
    <sheetDataSet>
      <sheetData sheetId="0"/>
      <sheetData sheetId="1">
        <row r="3">
          <cell r="D3">
            <v>537378</v>
          </cell>
        </row>
        <row r="4">
          <cell r="C4">
            <v>264248.861283644</v>
          </cell>
        </row>
        <row r="5">
          <cell r="C5">
            <v>78883.850931677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B9" sqref="B9"/>
    </sheetView>
  </sheetViews>
  <sheetFormatPr defaultColWidth="8.72727272727273" defaultRowHeight="14" outlineLevelCol="2"/>
  <cols>
    <col min="1" max="1" width="7.72727272727273" customWidth="1"/>
    <col min="2" max="2" width="82.7272727272727" customWidth="1"/>
    <col min="3" max="3" width="23.8181818181818" customWidth="1"/>
  </cols>
  <sheetData>
    <row r="1" ht="21" spans="1:3">
      <c r="A1" s="1" t="s">
        <v>0</v>
      </c>
      <c r="B1" s="1"/>
      <c r="C1" s="1"/>
    </row>
    <row r="2" ht="21" spans="1:3">
      <c r="A2" s="1" t="s">
        <v>1</v>
      </c>
      <c r="B2" s="1" t="s">
        <v>2</v>
      </c>
      <c r="C2" s="1" t="s">
        <v>3</v>
      </c>
    </row>
    <row r="3" ht="21" spans="1:3">
      <c r="A3" s="1">
        <v>1</v>
      </c>
      <c r="B3" s="2" t="s">
        <v>4</v>
      </c>
      <c r="C3" s="3">
        <f>[1]投资汇总表!D3</f>
        <v>537378</v>
      </c>
    </row>
    <row r="4" ht="42" spans="1:3">
      <c r="A4" s="1">
        <v>2</v>
      </c>
      <c r="B4" s="4" t="s">
        <v>5</v>
      </c>
      <c r="C4" s="3">
        <f>[1]投资汇总表!C4</f>
        <v>264248.861283644</v>
      </c>
    </row>
    <row r="5" ht="21" spans="1:3">
      <c r="A5" s="1">
        <v>3</v>
      </c>
      <c r="B5" s="2" t="s">
        <v>6</v>
      </c>
      <c r="C5" s="3">
        <f>[1]投资汇总表!C5</f>
        <v>78883.850931677</v>
      </c>
    </row>
    <row r="6" ht="21" spans="1:3">
      <c r="A6" s="1">
        <v>4</v>
      </c>
      <c r="B6" s="2" t="s">
        <v>7</v>
      </c>
      <c r="C6" s="3">
        <v>728000</v>
      </c>
    </row>
    <row r="7" ht="21" spans="1:3">
      <c r="A7" s="1">
        <v>5</v>
      </c>
      <c r="B7" s="2" t="s">
        <v>8</v>
      </c>
      <c r="C7" s="3">
        <v>536183</v>
      </c>
    </row>
    <row r="8" ht="21" spans="1:3">
      <c r="A8" s="1">
        <v>6</v>
      </c>
      <c r="B8" s="2" t="s">
        <v>9</v>
      </c>
      <c r="C8" s="3">
        <v>400000</v>
      </c>
    </row>
    <row r="9" ht="21" spans="1:3">
      <c r="A9" s="1">
        <v>7</v>
      </c>
      <c r="B9" s="2" t="s">
        <v>10</v>
      </c>
      <c r="C9" s="3">
        <v>60000</v>
      </c>
    </row>
    <row r="10" ht="21" spans="1:3">
      <c r="A10" s="1">
        <v>8</v>
      </c>
      <c r="B10" s="2" t="s">
        <v>11</v>
      </c>
      <c r="C10" s="3">
        <v>1500000</v>
      </c>
    </row>
    <row r="11" ht="21" spans="1:3">
      <c r="A11" s="1" t="s">
        <v>12</v>
      </c>
      <c r="B11" s="1"/>
      <c r="C11" s="3">
        <f>SUM(C3:C10)</f>
        <v>4104693.71221532</v>
      </c>
    </row>
  </sheetData>
  <mergeCells count="2">
    <mergeCell ref="A1:C1"/>
    <mergeCell ref="A11:B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2026-03-16T11:13:08Z</dcterms:created>
  <dcterms:modified xsi:type="dcterms:W3CDTF">2026-03-16T11:57:49Z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698034071EB148ECA881138067CDE5BE_11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