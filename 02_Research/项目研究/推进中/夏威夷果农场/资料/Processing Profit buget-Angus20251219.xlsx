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8c0679e24ca5384/Working/2026/产业规划/"/>
    </mc:Choice>
  </mc:AlternateContent>
  <xr:revisionPtr revIDLastSave="3" documentId="13_ncr:1_{446F33F2-7890-41EC-AAB0-EC4F0854CD88}" xr6:coauthVersionLast="47" xr6:coauthVersionMax="47" xr10:uidLastSave="{65F0F947-7FF9-42D1-9161-9F5845FADE10}"/>
  <bookViews>
    <workbookView xWindow="-90" yWindow="-90" windowWidth="19380" windowHeight="10260" xr2:uid="{00000000-000D-0000-FFFF-FFFF00000000}"/>
  </bookViews>
  <sheets>
    <sheet name="测算模型" sheetId="1" r:id="rId1"/>
    <sheet name="加工厂运营成本" sheetId="2" r:id="rId2"/>
  </sheets>
  <definedNames>
    <definedName name="NISPrice">测算模型!$E$11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0" i="1"/>
  <c r="E25" i="1" s="1"/>
  <c r="E19" i="1"/>
  <c r="J11" i="1"/>
  <c r="J13" i="1" s="1"/>
  <c r="E15" i="1" s="1"/>
  <c r="J10" i="1"/>
  <c r="E10" i="1"/>
  <c r="E24" i="1" s="1"/>
  <c r="J9" i="1"/>
  <c r="J8" i="1"/>
  <c r="C10" i="2"/>
  <c r="C9" i="2"/>
  <c r="C5" i="2"/>
  <c r="C3" i="2"/>
  <c r="E26" i="1" l="1"/>
  <c r="E30" i="1" s="1"/>
  <c r="E21" i="1"/>
  <c r="E29" i="1" l="1"/>
  <c r="E27" i="1"/>
  <c r="E28" i="1" s="1"/>
</calcChain>
</file>

<file path=xl/sharedStrings.xml><?xml version="1.0" encoding="utf-8"?>
<sst xmlns="http://schemas.openxmlformats.org/spreadsheetml/2006/main" count="67" uniqueCount="60">
  <si>
    <t>Production Factors</t>
  </si>
  <si>
    <t>Kernel Price</t>
  </si>
  <si>
    <t>Total Investment</t>
  </si>
  <si>
    <t>Size</t>
  </si>
  <si>
    <t>AUD price</t>
  </si>
  <si>
    <t>percentage</t>
  </si>
  <si>
    <t>Supply Volume</t>
  </si>
  <si>
    <t>0#</t>
  </si>
  <si>
    <t>Production Capacity</t>
  </si>
  <si>
    <t>1#</t>
  </si>
  <si>
    <t>trading loan interest</t>
  </si>
  <si>
    <t>2#</t>
  </si>
  <si>
    <t>NIS Purchase Cost</t>
  </si>
  <si>
    <t>4#</t>
  </si>
  <si>
    <t>NIS Processing Loss Rate</t>
  </si>
  <si>
    <t>Moisture Loss</t>
  </si>
  <si>
    <t>AVG</t>
  </si>
  <si>
    <t>AUD Avg Price</t>
  </si>
  <si>
    <t>Kernel Yield Rate</t>
  </si>
  <si>
    <t>Kernel Selling Price</t>
  </si>
  <si>
    <t>Sales Achievement Rate</t>
  </si>
  <si>
    <t>Profit Calculation Formula</t>
  </si>
  <si>
    <t>Effect the Profit key actor</t>
  </si>
  <si>
    <t>Purchase Amount</t>
  </si>
  <si>
    <t>1. Supply</t>
  </si>
  <si>
    <t>Kernel Weight</t>
  </si>
  <si>
    <t>2.Kernel Yield Rate</t>
  </si>
  <si>
    <t>Kernel Sales Revenue</t>
  </si>
  <si>
    <t>3. Processing Loss Rate</t>
  </si>
  <si>
    <t>Processing Cost</t>
  </si>
  <si>
    <t>4. Kernel price</t>
  </si>
  <si>
    <t>Equipment Depreciation</t>
  </si>
  <si>
    <t>5.Processing Cost</t>
  </si>
  <si>
    <t>trading Loan interest</t>
  </si>
  <si>
    <t xml:space="preserve"> Road freight</t>
  </si>
  <si>
    <t>Marketing fee</t>
  </si>
  <si>
    <t>Net Profit</t>
  </si>
  <si>
    <t>Return on Investment</t>
  </si>
  <si>
    <t>cost/Kg</t>
  </si>
  <si>
    <t>expense/kg</t>
  </si>
  <si>
    <t xml:space="preserve">  </t>
  </si>
  <si>
    <t>加工厂运营成本预算</t>
  </si>
  <si>
    <t>成本项目</t>
  </si>
  <si>
    <t>计算过程</t>
  </si>
  <si>
    <t>数值</t>
  </si>
  <si>
    <t>单位</t>
  </si>
  <si>
    <t>人工成本</t>
  </si>
  <si>
    <t>临时员工年度工作时长:24Dx10Hx6M=1440                           个人综合小时工资:35                                              员工人数：6                                                            公式：1440*35*6=302400                                        管理人员工资：经理：100000，运营主管：65000，机械维修工：65000 财务：65000</t>
  </si>
  <si>
    <t>澳币</t>
  </si>
  <si>
    <t>电费成本</t>
  </si>
  <si>
    <t>年度总工作小时数:24Dx10Hx6M=1440                         年度总耗电量:1440x400KWH=57600                      电费；0.3AUD                                                         公式:57600*0.3</t>
  </si>
  <si>
    <t>包装成本</t>
  </si>
  <si>
    <t>年度果仁总产量:230000÷11.34=20282个               包装箱成本：3                              公式：26455*3</t>
  </si>
  <si>
    <t>食品安全证书费用</t>
  </si>
  <si>
    <t>加工厂日常维护费用</t>
  </si>
  <si>
    <t>不可预计费用</t>
  </si>
  <si>
    <t>合计</t>
  </si>
  <si>
    <t>每公斤壳果加工成本</t>
  </si>
  <si>
    <t>澳币/公斤</t>
  </si>
  <si>
    <t>吨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</si>
</sst>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.00;\-\$#,##0.00"/>
    <numFmt numFmtId="177" formatCode="#,##0.00_ "/>
  </numFmts>
  <fonts count="12">
    <font>
      <sz val="11"/>
      <color theme="1"/>
      <name val="等线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宋体"/>
      <family val="3"/>
      <charset val="134"/>
    </font>
    <font>
      <b/>
      <sz val="14"/>
      <color rgb="FF000000"/>
      <name val="Bodoni 72 Smallcaps"/>
      <charset val="1"/>
    </font>
    <font>
      <b/>
      <sz val="16"/>
      <color theme="1"/>
      <name val="等线"/>
      <family val="3"/>
      <charset val="134"/>
      <scheme val="minor"/>
    </font>
    <font>
      <sz val="11"/>
      <color rgb="FF0033CC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5" fillId="0" borderId="1" xfId="0" applyFont="1" applyBorder="1">
      <alignment vertical="center"/>
    </xf>
    <xf numFmtId="0" fontId="0" fillId="0" borderId="5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6" xfId="0" applyBorder="1">
      <alignment vertical="center"/>
    </xf>
    <xf numFmtId="9" fontId="0" fillId="0" borderId="1" xfId="1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177" fontId="0" fillId="0" borderId="1" xfId="0" applyNumberForma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N64"/>
  <sheetViews>
    <sheetView tabSelected="1" topLeftCell="A9" zoomScale="81" zoomScaleNormal="81" workbookViewId="0">
      <selection activeCell="E9" sqref="E9"/>
    </sheetView>
  </sheetViews>
  <sheetFormatPr defaultColWidth="8.8671875" defaultRowHeight="14.25"/>
  <cols>
    <col min="4" max="4" width="26.60546875" customWidth="1"/>
    <col min="5" max="5" width="16.8671875" customWidth="1"/>
    <col min="6" max="8" width="17.8671875" customWidth="1"/>
    <col min="9" max="9" width="20.12890625" customWidth="1"/>
    <col min="10" max="10" width="17.8671875" customWidth="1"/>
    <col min="12" max="12" width="10.390625" customWidth="1"/>
    <col min="13" max="13" width="11.390625" customWidth="1"/>
    <col min="14" max="14" width="11.12890625" customWidth="1"/>
    <col min="16" max="17" width="12.8671875" customWidth="1"/>
  </cols>
  <sheetData>
    <row r="6" spans="4:10" ht="20.5">
      <c r="D6" s="8" t="s">
        <v>0</v>
      </c>
      <c r="G6" s="8" t="s">
        <v>1</v>
      </c>
    </row>
    <row r="7" spans="4:10">
      <c r="D7" s="9" t="s">
        <v>2</v>
      </c>
      <c r="E7" s="10">
        <v>4500000</v>
      </c>
      <c r="G7" s="11" t="s">
        <v>3</v>
      </c>
      <c r="H7" s="12" t="s">
        <v>4</v>
      </c>
      <c r="I7" s="12" t="s">
        <v>5</v>
      </c>
      <c r="J7" s="13"/>
    </row>
    <row r="8" spans="4:10">
      <c r="D8" s="9" t="s">
        <v>6</v>
      </c>
      <c r="E8" s="14">
        <v>1500</v>
      </c>
      <c r="F8" s="26" t="s">
        <v>59</v>
      </c>
      <c r="G8" s="15" t="s">
        <v>7</v>
      </c>
      <c r="H8" s="9">
        <v>26.5</v>
      </c>
      <c r="I8" s="16">
        <v>0.2</v>
      </c>
      <c r="J8" s="17">
        <f t="shared" ref="J8:J11" si="0">I8*H8</f>
        <v>5.3</v>
      </c>
    </row>
    <row r="9" spans="4:10">
      <c r="D9" s="9" t="s">
        <v>8</v>
      </c>
      <c r="E9" s="9">
        <v>1500</v>
      </c>
      <c r="F9" s="26" t="s">
        <v>59</v>
      </c>
      <c r="G9" s="15" t="s">
        <v>9</v>
      </c>
      <c r="H9" s="9">
        <v>25.5</v>
      </c>
      <c r="I9" s="16">
        <v>0.3</v>
      </c>
      <c r="J9" s="17">
        <f t="shared" si="0"/>
        <v>7.65</v>
      </c>
    </row>
    <row r="10" spans="4:10">
      <c r="D10" s="9" t="s">
        <v>10</v>
      </c>
      <c r="E10" s="10">
        <f>E8*1000*E11*0.07/3</f>
        <v>140000.00000000003</v>
      </c>
      <c r="G10" s="15" t="s">
        <v>11</v>
      </c>
      <c r="H10" s="9">
        <v>23.5</v>
      </c>
      <c r="I10" s="16">
        <v>0.15</v>
      </c>
      <c r="J10" s="17">
        <f t="shared" si="0"/>
        <v>3.5249999999999999</v>
      </c>
    </row>
    <row r="11" spans="4:10">
      <c r="D11" s="9" t="s">
        <v>12</v>
      </c>
      <c r="E11" s="9">
        <v>4</v>
      </c>
      <c r="G11" s="15" t="s">
        <v>13</v>
      </c>
      <c r="H11" s="9">
        <v>20</v>
      </c>
      <c r="I11" s="16">
        <v>0.35</v>
      </c>
      <c r="J11" s="17">
        <f t="shared" si="0"/>
        <v>7</v>
      </c>
    </row>
    <row r="12" spans="4:10">
      <c r="D12" s="9" t="s">
        <v>14</v>
      </c>
      <c r="E12" s="18">
        <v>7.0000000000000007E-2</v>
      </c>
      <c r="G12" s="15"/>
      <c r="H12" s="9"/>
      <c r="I12" s="9"/>
      <c r="J12" s="17"/>
    </row>
    <row r="13" spans="4:10">
      <c r="D13" s="9" t="s">
        <v>15</v>
      </c>
      <c r="E13" s="18">
        <v>0.08</v>
      </c>
      <c r="G13" s="15" t="s">
        <v>16</v>
      </c>
      <c r="H13" s="19"/>
      <c r="I13" s="19" t="s">
        <v>17</v>
      </c>
      <c r="J13" s="20">
        <f>SUM(J8:J12)</f>
        <v>23.474999999999998</v>
      </c>
    </row>
    <row r="14" spans="4:10">
      <c r="D14" s="9" t="s">
        <v>18</v>
      </c>
      <c r="E14" s="18">
        <v>0.33</v>
      </c>
    </row>
    <row r="15" spans="4:10">
      <c r="D15" s="9" t="s">
        <v>19</v>
      </c>
      <c r="E15" s="9">
        <f>J13</f>
        <v>23.474999999999998</v>
      </c>
    </row>
    <row r="16" spans="4:10">
      <c r="D16" s="9" t="s">
        <v>20</v>
      </c>
      <c r="E16" s="9">
        <v>1</v>
      </c>
    </row>
    <row r="17" spans="4:13">
      <c r="L17" s="21"/>
      <c r="M17" s="21"/>
    </row>
    <row r="18" spans="4:13" ht="20.5">
      <c r="D18" s="8" t="s">
        <v>21</v>
      </c>
      <c r="H18" s="22" t="s">
        <v>22</v>
      </c>
      <c r="I18" s="22"/>
    </row>
    <row r="19" spans="4:13" ht="18">
      <c r="D19" s="9" t="s">
        <v>23</v>
      </c>
      <c r="E19" s="10">
        <f>E8*E11*1000</f>
        <v>6000000</v>
      </c>
      <c r="F19" s="9"/>
      <c r="H19" s="22" t="s">
        <v>24</v>
      </c>
      <c r="I19" s="22"/>
    </row>
    <row r="20" spans="4:13" ht="18">
      <c r="D20" s="9" t="s">
        <v>25</v>
      </c>
      <c r="E20" s="23">
        <f>E8*(1-E12)*(1-E13)*E14*1000</f>
        <v>423522.00000000006</v>
      </c>
      <c r="F20" s="9"/>
      <c r="H20" s="22" t="s">
        <v>26</v>
      </c>
      <c r="I20" s="22"/>
    </row>
    <row r="21" spans="4:13" ht="18">
      <c r="D21" s="9" t="s">
        <v>27</v>
      </c>
      <c r="E21" s="10">
        <f>E20*E15</f>
        <v>9942178.9500000011</v>
      </c>
      <c r="F21" s="9"/>
      <c r="H21" s="22" t="s">
        <v>28</v>
      </c>
      <c r="I21" s="24"/>
    </row>
    <row r="22" spans="4:13" ht="18">
      <c r="D22" s="9" t="s">
        <v>29</v>
      </c>
      <c r="E22" s="10">
        <f>加工厂运营成本!C9</f>
        <v>1161046</v>
      </c>
      <c r="F22" s="9"/>
      <c r="H22" s="22" t="s">
        <v>30</v>
      </c>
      <c r="I22" s="24"/>
    </row>
    <row r="23" spans="4:13" ht="18">
      <c r="D23" s="9" t="s">
        <v>31</v>
      </c>
      <c r="E23" s="21"/>
      <c r="F23" s="10">
        <v>400000</v>
      </c>
      <c r="H23" s="22" t="s">
        <v>32</v>
      </c>
      <c r="I23" s="24"/>
    </row>
    <row r="24" spans="4:13">
      <c r="D24" s="9" t="s">
        <v>33</v>
      </c>
      <c r="E24" s="10">
        <f>E10</f>
        <v>140000.00000000003</v>
      </c>
      <c r="F24" s="9"/>
    </row>
    <row r="25" spans="4:13">
      <c r="D25" s="9" t="s">
        <v>34</v>
      </c>
      <c r="E25" s="10">
        <f>E20*0.74</f>
        <v>313406.28000000003</v>
      </c>
      <c r="F25" s="9"/>
    </row>
    <row r="26" spans="4:13">
      <c r="D26" s="9" t="s">
        <v>35</v>
      </c>
      <c r="E26" s="10">
        <f>E20</f>
        <v>423522.00000000006</v>
      </c>
      <c r="F26" s="9"/>
    </row>
    <row r="27" spans="4:13">
      <c r="D27" s="9" t="s">
        <v>36</v>
      </c>
      <c r="E27" s="10">
        <f>E21-E19-SUM(E22:E26)</f>
        <v>1904204.6700000011</v>
      </c>
      <c r="F27" s="9"/>
      <c r="L27" s="21"/>
      <c r="M27" s="21"/>
    </row>
    <row r="28" spans="4:13">
      <c r="D28" s="9" t="s">
        <v>37</v>
      </c>
      <c r="E28" s="16">
        <f>E27/E7</f>
        <v>0.42315659333333355</v>
      </c>
      <c r="F28" s="9"/>
    </row>
    <row r="29" spans="4:13">
      <c r="D29" s="9" t="s">
        <v>38</v>
      </c>
      <c r="E29" s="10">
        <f>(SUM(E22:E26)+E19)/E20</f>
        <v>18.978882513777322</v>
      </c>
      <c r="F29" s="9"/>
    </row>
    <row r="30" spans="4:13">
      <c r="D30" s="9" t="s">
        <v>39</v>
      </c>
      <c r="E30" s="10">
        <f>SUM(E22:E26)/E20</f>
        <v>4.8119679261053729</v>
      </c>
      <c r="F30" s="9"/>
    </row>
    <row r="34" spans="9:13">
      <c r="L34" s="21"/>
      <c r="M34" s="21"/>
    </row>
    <row r="44" spans="9:13">
      <c r="L44" s="21"/>
      <c r="M44" s="21"/>
    </row>
    <row r="46" spans="9:13">
      <c r="I46" s="25"/>
    </row>
    <row r="47" spans="9:13">
      <c r="I47" s="25"/>
    </row>
    <row r="48" spans="9:13">
      <c r="I48" s="25"/>
    </row>
    <row r="49" spans="9:14">
      <c r="I49" s="25"/>
    </row>
    <row r="50" spans="9:14">
      <c r="I50" s="25"/>
    </row>
    <row r="51" spans="9:14">
      <c r="I51" s="25"/>
      <c r="N51" t="s">
        <v>40</v>
      </c>
    </row>
    <row r="52" spans="9:14">
      <c r="I52" s="25"/>
    </row>
    <row r="53" spans="9:14">
      <c r="I53" s="25"/>
    </row>
    <row r="54" spans="9:14">
      <c r="I54" s="25"/>
      <c r="L54" s="21"/>
      <c r="M54" s="21"/>
    </row>
    <row r="64" spans="9:14">
      <c r="L64" s="21"/>
      <c r="M64" s="21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opLeftCell="A4" zoomScale="70" zoomScaleNormal="70" workbookViewId="0">
      <selection activeCell="H3" sqref="H3"/>
    </sheetView>
  </sheetViews>
  <sheetFormatPr defaultColWidth="11" defaultRowHeight="14.25"/>
  <cols>
    <col min="1" max="1" width="27.12890625" customWidth="1"/>
    <col min="2" max="2" width="55.953125" customWidth="1"/>
    <col min="3" max="3" width="16.8671875" customWidth="1"/>
    <col min="4" max="4" width="12.4765625" customWidth="1"/>
  </cols>
  <sheetData>
    <row r="1" spans="1:4" ht="33" customHeight="1">
      <c r="A1" s="27" t="s">
        <v>41</v>
      </c>
      <c r="B1" s="27"/>
      <c r="C1" s="27"/>
      <c r="D1" s="27"/>
    </row>
    <row r="2" spans="1:4" ht="17.25">
      <c r="A2" s="1" t="s">
        <v>42</v>
      </c>
      <c r="B2" s="1" t="s">
        <v>43</v>
      </c>
      <c r="C2" s="1" t="s">
        <v>44</v>
      </c>
      <c r="D2" s="1" t="s">
        <v>45</v>
      </c>
    </row>
    <row r="3" spans="1:4" ht="103.5">
      <c r="A3" s="1" t="s">
        <v>46</v>
      </c>
      <c r="B3" s="2" t="s">
        <v>47</v>
      </c>
      <c r="C3" s="3">
        <f>302400+100000+65000+65000+65000</f>
        <v>597400</v>
      </c>
      <c r="D3" s="1" t="s">
        <v>48</v>
      </c>
    </row>
    <row r="4" spans="1:4" ht="69">
      <c r="A4" s="1" t="s">
        <v>49</v>
      </c>
      <c r="B4" s="2" t="s">
        <v>50</v>
      </c>
      <c r="C4" s="3">
        <v>172800</v>
      </c>
      <c r="D4" s="1" t="s">
        <v>48</v>
      </c>
    </row>
    <row r="5" spans="1:4" ht="51.75">
      <c r="A5" s="1" t="s">
        <v>51</v>
      </c>
      <c r="B5" s="2" t="s">
        <v>52</v>
      </c>
      <c r="C5" s="1">
        <f>20282*3</f>
        <v>60846</v>
      </c>
      <c r="D5" s="1" t="s">
        <v>48</v>
      </c>
    </row>
    <row r="6" spans="1:4" ht="17.25">
      <c r="A6" s="1" t="s">
        <v>53</v>
      </c>
      <c r="B6" s="2"/>
      <c r="C6" s="3">
        <v>30000</v>
      </c>
      <c r="D6" s="1" t="s">
        <v>48</v>
      </c>
    </row>
    <row r="7" spans="1:4" ht="17.25">
      <c r="A7" s="1" t="s">
        <v>54</v>
      </c>
      <c r="B7" s="2"/>
      <c r="C7" s="3">
        <v>200000</v>
      </c>
      <c r="D7" s="1" t="s">
        <v>48</v>
      </c>
    </row>
    <row r="8" spans="1:4" ht="17.25">
      <c r="A8" s="1" t="s">
        <v>55</v>
      </c>
      <c r="B8" s="2"/>
      <c r="C8" s="3">
        <v>100000</v>
      </c>
      <c r="D8" s="1" t="s">
        <v>48</v>
      </c>
    </row>
    <row r="9" spans="1:4" ht="18">
      <c r="A9" s="28" t="s">
        <v>56</v>
      </c>
      <c r="B9" s="28"/>
      <c r="C9" s="4">
        <f>SUM(C3:C8)</f>
        <v>1161046</v>
      </c>
      <c r="D9" s="5"/>
    </row>
    <row r="10" spans="1:4" ht="17.25">
      <c r="A10" s="1" t="s">
        <v>56</v>
      </c>
      <c r="B10" s="6" t="s">
        <v>57</v>
      </c>
      <c r="C10" s="1">
        <f>C9/测算模型!E8/1000</f>
        <v>0.77403066666666664</v>
      </c>
      <c r="D10" s="1" t="s">
        <v>58</v>
      </c>
    </row>
    <row r="12" spans="1:4" ht="17.25">
      <c r="A12" s="7"/>
    </row>
  </sheetData>
  <mergeCells count="2">
    <mergeCell ref="A1:D1"/>
    <mergeCell ref="A9:B9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测算模型</vt:lpstr>
      <vt:lpstr>加工厂运营成本</vt:lpstr>
      <vt:lpstr>NISPrice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 Peng</dc:creator>
  <cp:lastModifiedBy>System ERP</cp:lastModifiedBy>
  <dcterms:created xsi:type="dcterms:W3CDTF">2025-01-11T16:49:00Z</dcterms:created>
  <dcterms:modified xsi:type="dcterms:W3CDTF">2026-04-12T11:38:31Z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6C283038F7E54668B0514E0F528A822A_13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