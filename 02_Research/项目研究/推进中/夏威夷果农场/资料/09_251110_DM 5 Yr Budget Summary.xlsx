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te-my.sharepoint.com/personal/robbie_2te_com_au/Documents/Documents/2te Master Folder/2te Customers/1. Discovery/Discovery_Finance &amp; Reports/2026 DM Finance/"/>
    </mc:Choice>
  </mc:AlternateContent>
  <xr:revisionPtr revIDLastSave="128" documentId="8_{7A089875-0AD8-4033-A1BA-49B344F73D8F}" xr6:coauthVersionLast="47" xr6:coauthVersionMax="47" xr10:uidLastSave="{426085CD-7172-4275-9D69-537D88579BCA}"/>
  <bookViews>
    <workbookView xWindow="-108" yWindow="-108" windowWidth="23256" windowHeight="12456" xr2:uid="{A4BDB325-2699-4B77-B4BB-517581855BF2}"/>
  </bookViews>
  <sheets>
    <sheet name="Forecast Prodn Scenarios" sheetId="4" r:id="rId1"/>
    <sheet name="Production Forecast" sheetId="2" r:id="rId2"/>
    <sheet name="5yr Budget Summary_425t" sheetId="1" r:id="rId3"/>
    <sheet name="Sprayed Ha vs proposed Ha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G4" i="1"/>
  <c r="H4" i="1" s="1"/>
  <c r="F4" i="1"/>
  <c r="H34" i="1" l="1"/>
  <c r="H41" i="1" s="1"/>
  <c r="G34" i="1"/>
  <c r="F34" i="1"/>
  <c r="F41" i="1" s="1"/>
  <c r="E34" i="1"/>
  <c r="D34" i="1"/>
  <c r="O14" i="3"/>
  <c r="P12" i="3"/>
  <c r="Q12" i="3" s="1"/>
  <c r="N12" i="3"/>
  <c r="M11" i="3"/>
  <c r="I7" i="3"/>
  <c r="C7" i="3"/>
  <c r="P6" i="3"/>
  <c r="H6" i="3"/>
  <c r="G6" i="3"/>
  <c r="F6" i="3"/>
  <c r="P13" i="3" s="1"/>
  <c r="Q13" i="3" s="1"/>
  <c r="E6" i="3"/>
  <c r="J6" i="3" s="1"/>
  <c r="D6" i="3"/>
  <c r="M13" i="3" s="1"/>
  <c r="P5" i="3"/>
  <c r="H5" i="3"/>
  <c r="G5" i="3"/>
  <c r="F5" i="3"/>
  <c r="E5" i="3"/>
  <c r="J5" i="3" s="1"/>
  <c r="D5" i="3"/>
  <c r="M12" i="3" s="1"/>
  <c r="P4" i="3"/>
  <c r="H4" i="3"/>
  <c r="G4" i="3"/>
  <c r="F4" i="3"/>
  <c r="P11" i="3" s="1"/>
  <c r="Q11" i="3" s="1"/>
  <c r="E4" i="3"/>
  <c r="J4" i="3" s="1"/>
  <c r="D4" i="3"/>
  <c r="M4" i="3" s="1"/>
  <c r="P3" i="3"/>
  <c r="H3" i="3"/>
  <c r="G3" i="3"/>
  <c r="F3" i="3"/>
  <c r="P10" i="3" s="1"/>
  <c r="Q10" i="3" s="1"/>
  <c r="E3" i="3"/>
  <c r="D3" i="3"/>
  <c r="T30" i="2"/>
  <c r="Q30" i="2"/>
  <c r="N30" i="2"/>
  <c r="K30" i="2"/>
  <c r="I30" i="2"/>
  <c r="C30" i="2"/>
  <c r="L29" i="2"/>
  <c r="D29" i="2"/>
  <c r="G29" i="2" s="1"/>
  <c r="H29" i="2" s="1"/>
  <c r="L28" i="2"/>
  <c r="D28" i="2"/>
  <c r="G28" i="2" s="1"/>
  <c r="H28" i="2" s="1"/>
  <c r="L27" i="2"/>
  <c r="D27" i="2"/>
  <c r="G27" i="2" s="1"/>
  <c r="H27" i="2" s="1"/>
  <c r="L26" i="2"/>
  <c r="D26" i="2"/>
  <c r="G26" i="2" s="1"/>
  <c r="T21" i="2"/>
  <c r="Q21" i="2"/>
  <c r="N21" i="2"/>
  <c r="K21" i="2"/>
  <c r="I21" i="2"/>
  <c r="L21" i="2" s="1"/>
  <c r="C21" i="2"/>
  <c r="L20" i="2"/>
  <c r="D20" i="2"/>
  <c r="G20" i="2" s="1"/>
  <c r="H20" i="2" s="1"/>
  <c r="L19" i="2"/>
  <c r="D19" i="2"/>
  <c r="G19" i="2" s="1"/>
  <c r="H19" i="2" s="1"/>
  <c r="L18" i="2"/>
  <c r="D18" i="2"/>
  <c r="G18" i="2" s="1"/>
  <c r="H18" i="2" s="1"/>
  <c r="L17" i="2"/>
  <c r="D17" i="2"/>
  <c r="G17" i="2" s="1"/>
  <c r="T12" i="2"/>
  <c r="I14" i="2" s="1"/>
  <c r="Q12" i="2"/>
  <c r="N12" i="2"/>
  <c r="L12" i="2"/>
  <c r="K12" i="2"/>
  <c r="I12" i="2"/>
  <c r="C12" i="2"/>
  <c r="L11" i="2"/>
  <c r="D11" i="2"/>
  <c r="G11" i="2" s="1"/>
  <c r="H11" i="2" s="1"/>
  <c r="L10" i="2"/>
  <c r="D10" i="2"/>
  <c r="G10" i="2" s="1"/>
  <c r="H10" i="2" s="1"/>
  <c r="L9" i="2"/>
  <c r="D9" i="2"/>
  <c r="G9" i="2" s="1"/>
  <c r="H9" i="2" s="1"/>
  <c r="L8" i="2"/>
  <c r="D8" i="2"/>
  <c r="G8" i="2" s="1"/>
  <c r="C41" i="1"/>
  <c r="H40" i="1"/>
  <c r="G40" i="1"/>
  <c r="F40" i="1"/>
  <c r="E40" i="1"/>
  <c r="D40" i="1"/>
  <c r="C40" i="1"/>
  <c r="B40" i="1"/>
  <c r="D41" i="1"/>
  <c r="H30" i="1"/>
  <c r="H39" i="1" s="1"/>
  <c r="G30" i="1"/>
  <c r="G39" i="1" s="1"/>
  <c r="F30" i="1"/>
  <c r="F39" i="1" s="1"/>
  <c r="E30" i="1"/>
  <c r="E39" i="1" s="1"/>
  <c r="D30" i="1"/>
  <c r="D39" i="1" s="1"/>
  <c r="C30" i="1"/>
  <c r="C39" i="1" s="1"/>
  <c r="H24" i="1"/>
  <c r="H38" i="1" s="1"/>
  <c r="G24" i="1"/>
  <c r="G38" i="1" s="1"/>
  <c r="F24" i="1"/>
  <c r="F38" i="1" s="1"/>
  <c r="E24" i="1"/>
  <c r="E38" i="1" s="1"/>
  <c r="D24" i="1"/>
  <c r="D38" i="1" s="1"/>
  <c r="C24" i="1"/>
  <c r="C38" i="1" s="1"/>
  <c r="D14" i="1"/>
  <c r="C14" i="1"/>
  <c r="D13" i="1"/>
  <c r="C13" i="1"/>
  <c r="D9" i="1"/>
  <c r="D10" i="1" s="1"/>
  <c r="C9" i="1"/>
  <c r="C37" i="1" s="1"/>
  <c r="E8" i="1"/>
  <c r="F8" i="1" s="1"/>
  <c r="E7" i="1"/>
  <c r="F7" i="1" s="1"/>
  <c r="F5" i="1"/>
  <c r="F45" i="1" s="1"/>
  <c r="F46" i="1" s="1"/>
  <c r="E5" i="1"/>
  <c r="E45" i="1" s="1"/>
  <c r="E46" i="1" s="1"/>
  <c r="D5" i="1"/>
  <c r="D45" i="1" s="1"/>
  <c r="D46" i="1" s="1"/>
  <c r="C5" i="1"/>
  <c r="C45" i="1" s="1"/>
  <c r="C46" i="1" s="1"/>
  <c r="E4" i="1"/>
  <c r="M5" i="3" l="1"/>
  <c r="D7" i="3"/>
  <c r="M14" i="3" s="1"/>
  <c r="E7" i="3"/>
  <c r="I32" i="2"/>
  <c r="E13" i="1"/>
  <c r="G41" i="1"/>
  <c r="E41" i="1"/>
  <c r="C36" i="1"/>
  <c r="C47" i="1" s="1"/>
  <c r="J7" i="3"/>
  <c r="F7" i="3"/>
  <c r="N13" i="3"/>
  <c r="M3" i="3"/>
  <c r="M6" i="3"/>
  <c r="J3" i="3"/>
  <c r="N11" i="3"/>
  <c r="M10" i="3"/>
  <c r="N10" i="3"/>
  <c r="G21" i="2"/>
  <c r="H17" i="2"/>
  <c r="H21" i="2" s="1"/>
  <c r="G12" i="2"/>
  <c r="H8" i="2"/>
  <c r="H12" i="2" s="1"/>
  <c r="H26" i="2"/>
  <c r="H30" i="2" s="1"/>
  <c r="G30" i="2"/>
  <c r="I23" i="2"/>
  <c r="L30" i="2"/>
  <c r="F9" i="1"/>
  <c r="G7" i="1"/>
  <c r="F13" i="1"/>
  <c r="G8" i="1"/>
  <c r="F14" i="1"/>
  <c r="C48" i="1"/>
  <c r="D15" i="1"/>
  <c r="G5" i="1"/>
  <c r="G45" i="1" s="1"/>
  <c r="G46" i="1" s="1"/>
  <c r="E9" i="1"/>
  <c r="H5" i="1"/>
  <c r="H45" i="1" s="1"/>
  <c r="H46" i="1" s="1"/>
  <c r="C10" i="1"/>
  <c r="D37" i="1"/>
  <c r="D36" i="1" s="1"/>
  <c r="D47" i="1" s="1"/>
  <c r="E14" i="1"/>
  <c r="C15" i="1"/>
  <c r="F15" i="1" l="1"/>
  <c r="D48" i="1"/>
  <c r="P14" i="3"/>
  <c r="Q14" i="3" s="1"/>
  <c r="N14" i="3"/>
  <c r="G32" i="2"/>
  <c r="D30" i="2"/>
  <c r="D12" i="2"/>
  <c r="G14" i="2"/>
  <c r="D21" i="2"/>
  <c r="G23" i="2"/>
  <c r="G13" i="1"/>
  <c r="G9" i="1"/>
  <c r="H7" i="1"/>
  <c r="F10" i="1"/>
  <c r="F37" i="1"/>
  <c r="E10" i="1"/>
  <c r="E37" i="1"/>
  <c r="E15" i="1"/>
  <c r="H8" i="1"/>
  <c r="H14" i="1" s="1"/>
  <c r="G14" i="1"/>
  <c r="H13" i="1" l="1"/>
  <c r="H9" i="1"/>
  <c r="G15" i="1"/>
  <c r="G10" i="1"/>
  <c r="G37" i="1"/>
  <c r="F36" i="1"/>
  <c r="F47" i="1" s="1"/>
  <c r="F48" i="1"/>
  <c r="E36" i="1"/>
  <c r="E47" i="1" s="1"/>
  <c r="E48" i="1"/>
  <c r="G36" i="1" l="1"/>
  <c r="G47" i="1" s="1"/>
  <c r="G48" i="1"/>
  <c r="H15" i="1"/>
  <c r="H10" i="1"/>
  <c r="H37" i="1"/>
  <c r="H36" i="1" l="1"/>
  <c r="H47" i="1" s="1"/>
  <c r="J47" i="1" s="1"/>
  <c r="H48" i="1"/>
  <c r="I48" i="1" s="1"/>
  <c r="I47" i="1" l="1"/>
  <c r="J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tc={6E9C61F8-78BB-4DF4-83F7-0EFF7E2876A9}</author>
    <author>tc={0EA44BC9-4AB7-4ECA-BF6E-4E142A23083E}</author>
    <author>tc={031261FF-6877-4524-9331-48B8718B625B}</author>
    <author>tc={AE0D7B08-43FC-496C-B023-54BCAD093FB3}</author>
    <author>tc={16F6A379-1C6E-4730-894B-CCAC3619A641}</author>
    <author>tc={94950D14-BDEC-4D07-AD2A-F70A9329DA18}</author>
    <author>tc={F414708A-A0C9-4318-8420-2A052BC641CB}</author>
    <author>tc={1497FD1C-2570-4310-A091-9FEB726E4296}</author>
    <author>tc={4651FD9D-2AF9-47E8-91D7-DB540DDE4778}</author>
    <author>tc={269E8631-36F4-4BD1-BF0F-D39555E2C258}</author>
    <author>tc={E59F045E-AC4B-44D3-B84C-50D37B12BD50}</author>
    <author>tc={0C3C57C6-F87E-41DA-99D5-E80515100B39}</author>
    <author>tc={78920136-8FB3-4455-A63B-D68A3E174F8C}</author>
    <author>tc={823A7671-1356-4A7A-8D3C-86AD0774E674}</author>
    <author>tc={0D60C6E1-2010-4BEA-879B-9D684076E718}</author>
    <author>tc={1468AC11-C4F8-4E0F-A8E5-691CF20FD7C4}</author>
    <author>tc={AC228B6C-F017-4A3F-98D7-CAC408EB80A8}</author>
    <author>tc={A3590B6D-6211-4F85-B5AB-4691E9F90515}</author>
    <author>tc={035087B2-81D6-4CC3-9452-993A0FB4D80B}</author>
    <author>tc={9B90C8E7-3912-47F4-A134-9470CEAA38D9}</author>
    <author>tc={2529063F-906A-42D3-8889-D6DCF1DA9207}</author>
    <author>tc={647D027A-C80E-4E67-93EF-06ECD5CA25C7}</author>
    <author>tc={07F0D686-FA9D-46EE-AEE4-8951886C1284}</author>
    <author>tc={F54FF148-572A-4CDD-83F6-9A34ADAD5D49}</author>
    <author>tc={BAB463D1-CED8-4ACC-91A1-0DCDF46354E4}</author>
    <author>tc={D73F0332-2134-409D-B9A5-12EDF3700513}</author>
    <author>tc={CA5933B7-5226-4E89-B4CE-84B946FAC195}</author>
    <author>tc={EF936675-865B-49A3-A3CB-F38E3B3CCDD8}</author>
    <author>tc={EC245E5A-54AC-43ED-A622-3BC3E6F611D4}</author>
  </authors>
  <commentList>
    <comment ref="C4" authorId="0" shapeId="0" xr:uid="{6E9C61F8-78BB-4DF4-83F7-0EFF7E2876A9}">
      <text>
        <t>[Threaded comment]
Your version of Excel allows you to read this threaded comment; however, any edits to it will get removed if the file is opened in a newer version of Excel. Learn more: https://go.microsoft.com/fwlink/?linkid=870924
Comment:
    244ha harvested</t>
      </text>
    </comment>
    <comment ref="E4" authorId="1" shapeId="0" xr:uid="{0EA44BC9-4AB7-4ECA-BF6E-4E142A23083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Earthworks to recover another 16ha (LDR1, LDR2 &amp; LMR)</t>
      </text>
    </comment>
    <comment ref="F4" authorId="2" shapeId="0" xr:uid="{031261FF-6877-4524-9331-48B8718B625B}">
      <text>
        <t>[Threaded comment]
Your version of Excel allows you to read this threaded comment; however, any edits to it will get removed if the file is opened in a newer version of Excel. Learn more: https://go.microsoft.com/fwlink/?linkid=870924
Comment:
    Earthworks to recover another 4ha</t>
      </text>
    </comment>
    <comment ref="D20" authorId="3" shapeId="0" xr:uid="{AE0D7B08-43FC-496C-B023-54BCAD093FB3}">
      <text>
        <t>[Threaded comment]
Your version of Excel allows you to read this threaded comment; however, any edits to it will get removed if the file is opened in a newer version of Excel. Learn more: https://go.microsoft.com/fwlink/?linkid=870924
Comment:
    2 x $40k Heavy Duty Mulchers</t>
      </text>
    </comment>
    <comment ref="E20" authorId="4" shapeId="0" xr:uid="{16F6A379-1C6E-4730-894B-CCAC3619A6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Replace Schulte Slasher </t>
      </text>
    </comment>
    <comment ref="F20" authorId="5" shapeId="0" xr:uid="{94950D14-BDEC-4D07-AD2A-F70A9329DA18}">
      <text>
        <t>[Threaded comment]
Your version of Excel allows you to read this threaded comment; however, any edits to it will get removed if the file is opened in a newer version of Excel. Learn more: https://go.microsoft.com/fwlink/?linkid=870924
Comment:
    2 x $40k Heavy Duty Mulchers</t>
      </text>
    </comment>
    <comment ref="G20" authorId="6" shapeId="0" xr:uid="{F414708A-A0C9-4318-8420-2A052BC641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x $40k Heavy Duty Mulchers</t>
      </text>
    </comment>
    <comment ref="H20" authorId="7" shapeId="0" xr:uid="{1497FD1C-2570-4310-A091-9FEB726E42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Replace Schulte Slasher </t>
      </text>
    </comment>
    <comment ref="D21" authorId="8" shapeId="0" xr:uid="{4651FD9D-2AF9-47E8-91D7-DB540DDE4778}">
      <text>
        <t>[Threaded comment]
Your version of Excel allows you to read this threaded comment; however, any edits to it will get removed if the file is opened in a newer version of Excel. Learn more: https://go.microsoft.com/fwlink/?linkid=870924
Comment:
    2 Kubota Buggies</t>
      </text>
    </comment>
    <comment ref="E21" authorId="9" shapeId="0" xr:uid="{269E8631-36F4-4BD1-BF0F-D39555E2C2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140hp John Deere each year</t>
      </text>
    </comment>
    <comment ref="F21" authorId="10" shapeId="0" xr:uid="{E59F045E-AC4B-44D3-B84C-50D37B12BD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140hp John Deere each year</t>
      </text>
    </comment>
    <comment ref="G21" authorId="11" shapeId="0" xr:uid="{0C3C57C6-F87E-41DA-99D5-E80515100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140hp John Deere each year</t>
      </text>
    </comment>
    <comment ref="H21" authorId="12" shapeId="0" xr:uid="{78920136-8FB3-4455-A63B-D68A3E174F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140hp John Deere each year</t>
      </text>
    </comment>
    <comment ref="D22" authorId="13" shapeId="0" xr:uid="{823A7671-1356-4A7A-8D3C-86AD0774E674}">
      <text>
        <t>[Threaded comment]
Your version of Excel allows you to read this threaded comment; however, any edits to it will get removed if the file is opened in a newer version of Excel. Learn more: https://go.microsoft.com/fwlink/?linkid=870924
Comment:
    Yannie Creek wide Soil Profiler</t>
      </text>
    </comment>
    <comment ref="G22" authorId="14" shapeId="0" xr:uid="{0D60C6E1-2010-4BEA-879B-9D684076E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Yannie Creek wide Soil Profiler with a new one</t>
      </text>
    </comment>
    <comment ref="D27" authorId="15" shapeId="0" xr:uid="{1468AC11-C4F8-4E0F-A8E5-691CF20FD7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 eroded gullies, open up additional harvestable orchard area each year over 5 years (16ha)</t>
      </text>
    </comment>
    <comment ref="E27" authorId="16" shapeId="0" xr:uid="{AC228B6C-F017-4A3F-98D7-CAC408EB80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 eroded gullies, open up additional harvestable orchard area each year over 5 years</t>
      </text>
    </comment>
    <comment ref="F27" authorId="17" shapeId="0" xr:uid="{A3590B6D-6211-4F85-B5AB-4691E9F905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 eroded gullies, open up additional harvestable orchard area each year over 5 years</t>
      </text>
    </comment>
    <comment ref="G27" authorId="18" shapeId="0" xr:uid="{035087B2-81D6-4CC3-9452-993A0FB4D8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 eroded gullies, open up additional harvestable orchard area each year over 5 years</t>
      </text>
    </comment>
    <comment ref="E28" authorId="19" shapeId="0" xr:uid="{9B90C8E7-3912-47F4-A134-9470CEAA38D9}">
      <text>
        <t>[Threaded comment]
Your version of Excel allows you to read this threaded comment; however, any edits to it will get removed if the file is opened in a newer version of Excel. Learn more: https://go.microsoft.com/fwlink/?linkid=870924
Comment:
    Begin dehusk replacement works</t>
      </text>
    </comment>
    <comment ref="F28" authorId="20" shapeId="0" xr:uid="{2529063F-906A-42D3-8889-D6DCF1DA9207}">
      <text>
        <t>[Threaded comment]
Your version of Excel allows you to read this threaded comment; however, any edits to it will get removed if the file is opened in a newer version of Excel. Learn more: https://go.microsoft.com/fwlink/?linkid=870924
Comment:
    Major dehusk replacement internally</t>
      </text>
    </comment>
    <comment ref="D29" authorId="21" shapeId="0" xr:uid="{647D027A-C80E-4E67-93EF-06ECD5CA25C7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 prune to rejuvenate canopy growth</t>
      </text>
    </comment>
    <comment ref="E29" authorId="22" shapeId="0" xr:uid="{07F0D686-FA9D-46EE-AEE4-8951886C1284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 prune to rejuvenate canopy growth</t>
      </text>
    </comment>
    <comment ref="F29" authorId="23" shapeId="0" xr:uid="{F54FF148-572A-4CDD-83F6-9A34ADAD5D49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 prune to rejuvenate canopy growth</t>
      </text>
    </comment>
    <comment ref="G29" authorId="24" shapeId="0" xr:uid="{BAB463D1-CED8-4ACC-91A1-0DCDF46354E4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 prune to rejuvenate canopy growth</t>
      </text>
    </comment>
    <comment ref="H29" authorId="25" shapeId="0" xr:uid="{D73F0332-2134-409D-B9A5-12EDF3700513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 prune to rejuvenate canopy growth</t>
      </text>
    </comment>
    <comment ref="C34" authorId="26" shapeId="0" xr:uid="{CA5933B7-5226-4E89-B4CE-84B946FAC19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$750/ha over 318.8 Ha for 11 months</t>
      </text>
    </comment>
    <comment ref="D34" authorId="27" shapeId="0" xr:uid="{EF936675-865B-49A3-A3CB-F38E3B3CCDD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$750/ha over 294 ha over 12 months</t>
      </text>
    </comment>
    <comment ref="E34" authorId="28" shapeId="0" xr:uid="{EC245E5A-54AC-43ED-A622-3BC3E6F611D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$750/ha over 274.5ha over 12 months.</t>
      </text>
    </comment>
  </commentList>
</comments>
</file>

<file path=xl/sharedStrings.xml><?xml version="1.0" encoding="utf-8"?>
<sst xmlns="http://schemas.openxmlformats.org/spreadsheetml/2006/main" count="156" uniqueCount="88">
  <si>
    <t>OpEx</t>
  </si>
  <si>
    <t xml:space="preserve">Key Concerns </t>
  </si>
  <si>
    <t>Producing Ha</t>
  </si>
  <si>
    <t>R&amp;M Cost &amp; Downtime (Mulchers/Implements/Tractors)</t>
  </si>
  <si>
    <t>NIS/Ha</t>
  </si>
  <si>
    <t>Dehusking (S/Farm)</t>
  </si>
  <si>
    <t xml:space="preserve">NIS </t>
  </si>
  <si>
    <t xml:space="preserve">Gullies repairs </t>
  </si>
  <si>
    <t xml:space="preserve">Labour </t>
  </si>
  <si>
    <t xml:space="preserve">Canopy Rejuvenation </t>
  </si>
  <si>
    <t xml:space="preserve">Inputs </t>
  </si>
  <si>
    <t>Harvest as tonnage increases</t>
  </si>
  <si>
    <t>OpEx TOTAL</t>
  </si>
  <si>
    <t>$ Cost /kg</t>
  </si>
  <si>
    <t xml:space="preserve">$/Ha </t>
  </si>
  <si>
    <t>TOTAL</t>
  </si>
  <si>
    <t>CapEx</t>
  </si>
  <si>
    <t>Tall Tree Sprayers</t>
  </si>
  <si>
    <t>John Deere 6110M</t>
  </si>
  <si>
    <t xml:space="preserve">Mulchers &amp; Slashers </t>
  </si>
  <si>
    <t>Tractors &amp; Buggies</t>
  </si>
  <si>
    <t>Profiler</t>
  </si>
  <si>
    <t xml:space="preserve">Key Opportunities </t>
  </si>
  <si>
    <t>Sweeper AMB Harvester</t>
  </si>
  <si>
    <t>Unlock additional Hectares</t>
  </si>
  <si>
    <t xml:space="preserve">Cap Improvements </t>
  </si>
  <si>
    <t>Grow More Roots</t>
  </si>
  <si>
    <t>Gullie Repairs</t>
  </si>
  <si>
    <t xml:space="preserve">Grow More Canopy </t>
  </si>
  <si>
    <t xml:space="preserve">Dehusking </t>
  </si>
  <si>
    <t xml:space="preserve">Grow More Nuts </t>
  </si>
  <si>
    <t xml:space="preserve">Extraordinary Projects </t>
  </si>
  <si>
    <t>Mgt Fee</t>
  </si>
  <si>
    <t>TOTAL COST</t>
  </si>
  <si>
    <t>OpEx Cost</t>
  </si>
  <si>
    <t>CapEx Cost</t>
  </si>
  <si>
    <t>Cap Improvements Cost</t>
  </si>
  <si>
    <t>Mgt Fee Cost</t>
  </si>
  <si>
    <t xml:space="preserve">Income </t>
  </si>
  <si>
    <t>$/Kg</t>
  </si>
  <si>
    <t>Total $/Ha</t>
  </si>
  <si>
    <t xml:space="preserve">Total $  </t>
  </si>
  <si>
    <t>4 yrs Cummilative</t>
  </si>
  <si>
    <t>5 yrs Cummilative</t>
  </si>
  <si>
    <t xml:space="preserve">Gross Margin </t>
  </si>
  <si>
    <t>Operating Margin (Ex CapEx)</t>
  </si>
  <si>
    <t>Orchard</t>
  </si>
  <si>
    <t>Spray Ha</t>
  </si>
  <si>
    <t>Target NIS per Ha</t>
  </si>
  <si>
    <t>Trees/Ha</t>
  </si>
  <si>
    <t xml:space="preserve">Target NIS/Tree </t>
  </si>
  <si>
    <t>Tonnes NIS</t>
  </si>
  <si>
    <t>Harvested NIH</t>
  </si>
  <si>
    <t>Rounded  Numbers</t>
  </si>
  <si>
    <t>Early Forecast</t>
  </si>
  <si>
    <t>Peak Production in last 8 yrs</t>
  </si>
  <si>
    <t>Yr</t>
  </si>
  <si>
    <t>Peak Production in last 5 yrs</t>
  </si>
  <si>
    <t>Peak Production in last 3 yrs</t>
  </si>
  <si>
    <t>LDR1</t>
  </si>
  <si>
    <t>LDR2</t>
  </si>
  <si>
    <t>LMR</t>
  </si>
  <si>
    <t>LRC</t>
  </si>
  <si>
    <t>TOTAL Ha</t>
  </si>
  <si>
    <t>TOTAL Orchard Ha</t>
  </si>
  <si>
    <t>Harvested Ha</t>
  </si>
  <si>
    <t>% Harvested</t>
  </si>
  <si>
    <t>% Sprayed</t>
  </si>
  <si>
    <t xml:space="preserve">Tonnage </t>
  </si>
  <si>
    <t>t/Ha</t>
  </si>
  <si>
    <t>Trees</t>
  </si>
  <si>
    <t>Row</t>
  </si>
  <si>
    <t>In Row</t>
  </si>
  <si>
    <t>2te proposed Ha</t>
  </si>
  <si>
    <t>Difference</t>
  </si>
  <si>
    <t>%</t>
  </si>
  <si>
    <t xml:space="preserve">Comments </t>
  </si>
  <si>
    <t>negligible difference to desktop review</t>
  </si>
  <si>
    <t>slight difference to desktop review, driven by Alias 1 (washouts, erosion). Majority of these blocks are retirievable with earthworks</t>
  </si>
  <si>
    <t xml:space="preserve">Major difference. Key driver is the lack of crop to harvest, then the desired sale of the property. 2te focused on savings over high risk costs. Consequently, 2te re-focused on the low risk high production potential blocks only. </t>
  </si>
  <si>
    <t>LRC is the key driver of the difference, across LMR, LDR2 &amp; LDR1 the difference is 1.5%</t>
  </si>
  <si>
    <t>Efficiency from Tooling (Machinery &amp; Implements)</t>
  </si>
  <si>
    <t xml:space="preserve">Possible BEST Case Scenario </t>
  </si>
  <si>
    <t xml:space="preserve">Possible Worst Case Scenario </t>
  </si>
  <si>
    <t xml:space="preserve">*PLEASE NOTE - these forecasts are estiamtes only, based on field observations. They will be updated throughout the season. </t>
  </si>
  <si>
    <t>Nov25 Forecast Reported</t>
  </si>
  <si>
    <t xml:space="preserve">Low Yield Scenario </t>
  </si>
  <si>
    <t xml:space="preserve">High Yield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</si>
</sst>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&quot;$&quot;#,##0.00"/>
    <numFmt numFmtId="166" formatCode="0.0%"/>
    <numFmt numFmtId="167" formatCode="0.0"/>
    <numFmt numFmtId="168" formatCode="#,##0_ ;[Red]\-#,##0\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0" xfId="0" applyFont="1"/>
    <xf numFmtId="0" fontId="3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2" fontId="4" fillId="0" borderId="8" xfId="0" applyNumberFormat="1" applyFont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64" fontId="4" fillId="0" borderId="8" xfId="2" applyNumberFormat="1" applyFont="1" applyBorder="1" applyAlignment="1">
      <alignment horizontal="center"/>
    </xf>
    <xf numFmtId="164" fontId="4" fillId="2" borderId="8" xfId="2" applyNumberFormat="1" applyFont="1" applyFill="1" applyBorder="1" applyAlignment="1">
      <alignment horizontal="center"/>
    </xf>
    <xf numFmtId="0" fontId="4" fillId="0" borderId="0" xfId="2" applyNumberFormat="1" applyFont="1" applyFill="1" applyBorder="1" applyAlignment="1">
      <alignment horizontal="right"/>
    </xf>
    <xf numFmtId="0" fontId="3" fillId="0" borderId="10" xfId="0" applyFont="1" applyBorder="1"/>
    <xf numFmtId="164" fontId="4" fillId="0" borderId="11" xfId="2" applyNumberFormat="1" applyFont="1" applyBorder="1" applyAlignment="1">
      <alignment horizontal="center"/>
    </xf>
    <xf numFmtId="164" fontId="4" fillId="0" borderId="12" xfId="2" applyNumberFormat="1" applyFont="1" applyBorder="1" applyAlignment="1">
      <alignment horizontal="center"/>
    </xf>
    <xf numFmtId="0" fontId="4" fillId="0" borderId="0" xfId="2" applyNumberFormat="1" applyFont="1" applyFill="1" applyBorder="1" applyAlignment="1">
      <alignment horizontal="center"/>
    </xf>
    <xf numFmtId="0" fontId="9" fillId="0" borderId="1" xfId="0" applyFont="1" applyBorder="1"/>
    <xf numFmtId="165" fontId="10" fillId="0" borderId="2" xfId="0" applyNumberFormat="1" applyFont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13" xfId="0" applyFont="1" applyBorder="1"/>
    <xf numFmtId="164" fontId="4" fillId="0" borderId="14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4" fillId="0" borderId="14" xfId="2" applyNumberFormat="1" applyFont="1" applyBorder="1" applyAlignment="1">
      <alignment horizontal="center"/>
    </xf>
    <xf numFmtId="164" fontId="4" fillId="0" borderId="15" xfId="2" applyNumberFormat="1" applyFont="1" applyBorder="1" applyAlignment="1">
      <alignment horizontal="center"/>
    </xf>
    <xf numFmtId="164" fontId="4" fillId="0" borderId="9" xfId="2" applyNumberFormat="1" applyFont="1" applyBorder="1" applyAlignment="1">
      <alignment horizontal="center"/>
    </xf>
    <xf numFmtId="164" fontId="4" fillId="0" borderId="8" xfId="2" applyNumberFormat="1" applyFont="1" applyFill="1" applyBorder="1" applyAlignment="1">
      <alignment horizontal="center"/>
    </xf>
    <xf numFmtId="0" fontId="3" fillId="0" borderId="16" xfId="0" applyFont="1" applyBorder="1"/>
    <xf numFmtId="164" fontId="4" fillId="0" borderId="17" xfId="2" applyNumberFormat="1" applyFont="1" applyBorder="1" applyAlignment="1">
      <alignment horizontal="center"/>
    </xf>
    <xf numFmtId="164" fontId="4" fillId="0" borderId="17" xfId="2" applyNumberFormat="1" applyFont="1" applyFill="1" applyBorder="1" applyAlignment="1">
      <alignment horizontal="center"/>
    </xf>
    <xf numFmtId="164" fontId="4" fillId="0" borderId="18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164" fontId="10" fillId="0" borderId="2" xfId="2" applyNumberFormat="1" applyFont="1" applyFill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Fill="1" applyAlignment="1">
      <alignment horizontal="center"/>
    </xf>
    <xf numFmtId="164" fontId="4" fillId="0" borderId="11" xfId="2" applyNumberFormat="1" applyFont="1" applyFill="1" applyBorder="1" applyAlignment="1">
      <alignment horizontal="center"/>
    </xf>
    <xf numFmtId="0" fontId="9" fillId="0" borderId="0" xfId="0" applyFont="1"/>
    <xf numFmtId="164" fontId="10" fillId="0" borderId="0" xfId="2" applyNumberFormat="1" applyFont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3" fillId="0" borderId="4" xfId="0" applyFont="1" applyBorder="1"/>
    <xf numFmtId="164" fontId="4" fillId="0" borderId="5" xfId="2" applyNumberFormat="1" applyFont="1" applyBorder="1" applyAlignment="1">
      <alignment horizontal="center"/>
    </xf>
    <xf numFmtId="164" fontId="4" fillId="0" borderId="6" xfId="2" applyNumberFormat="1" applyFont="1" applyBorder="1" applyAlignment="1">
      <alignment horizontal="center"/>
    </xf>
    <xf numFmtId="0" fontId="3" fillId="0" borderId="19" xfId="0" applyFont="1" applyBorder="1"/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65" fontId="4" fillId="2" borderId="8" xfId="0" applyNumberFormat="1" applyFont="1" applyFill="1" applyBorder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6" fontId="4" fillId="0" borderId="2" xfId="0" applyNumberFormat="1" applyFont="1" applyBorder="1" applyAlignment="1">
      <alignment horizontal="center"/>
    </xf>
    <xf numFmtId="6" fontId="11" fillId="0" borderId="0" xfId="0" applyNumberFormat="1" applyFont="1" applyAlignment="1">
      <alignment horizontal="right"/>
    </xf>
    <xf numFmtId="6" fontId="0" fillId="0" borderId="0" xfId="0" applyNumberFormat="1"/>
    <xf numFmtId="0" fontId="12" fillId="0" borderId="1" xfId="0" applyFont="1" applyBorder="1" applyAlignment="1">
      <alignment horizontal="left"/>
    </xf>
    <xf numFmtId="6" fontId="13" fillId="0" borderId="2" xfId="0" applyNumberFormat="1" applyFont="1" applyBorder="1" applyAlignment="1">
      <alignment horizontal="center"/>
    </xf>
    <xf numFmtId="8" fontId="4" fillId="0" borderId="0" xfId="0" applyNumberFormat="1" applyFont="1"/>
    <xf numFmtId="9" fontId="4" fillId="0" borderId="0" xfId="3" applyFont="1"/>
    <xf numFmtId="0" fontId="0" fillId="0" borderId="0" xfId="0" applyAlignment="1">
      <alignment horizontal="center" wrapText="1"/>
    </xf>
    <xf numFmtId="0" fontId="14" fillId="0" borderId="0" xfId="0" applyFont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0" borderId="8" xfId="0" applyFont="1" applyBorder="1"/>
    <xf numFmtId="0" fontId="14" fillId="0" borderId="8" xfId="0" applyFont="1" applyBorder="1"/>
    <xf numFmtId="0" fontId="0" fillId="0" borderId="8" xfId="0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166" fontId="0" fillId="0" borderId="0" xfId="3" applyNumberFormat="1" applyFont="1"/>
    <xf numFmtId="0" fontId="15" fillId="0" borderId="7" xfId="0" applyFont="1" applyBorder="1"/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1" fontId="0" fillId="0" borderId="8" xfId="0" applyNumberFormat="1" applyBorder="1" applyAlignment="1">
      <alignment horizontal="center" wrapText="1"/>
    </xf>
    <xf numFmtId="1" fontId="0" fillId="3" borderId="23" xfId="0" applyNumberFormat="1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0" borderId="8" xfId="0" applyBorder="1"/>
    <xf numFmtId="166" fontId="14" fillId="0" borderId="8" xfId="3" applyNumberFormat="1" applyFont="1" applyBorder="1"/>
    <xf numFmtId="0" fontId="14" fillId="0" borderId="8" xfId="0" applyFont="1" applyBorder="1" applyAlignment="1">
      <alignment horizontal="center" wrapText="1"/>
    </xf>
    <xf numFmtId="0" fontId="15" fillId="0" borderId="10" xfId="0" applyFont="1" applyBorder="1"/>
    <xf numFmtId="167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1" fontId="0" fillId="0" borderId="11" xfId="0" applyNumberFormat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15" fillId="0" borderId="1" xfId="0" applyFont="1" applyBorder="1"/>
    <xf numFmtId="167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" fontId="2" fillId="0" borderId="2" xfId="0" applyNumberFormat="1" applyFont="1" applyBorder="1" applyAlignment="1">
      <alignment horizontal="center" wrapText="1"/>
    </xf>
    <xf numFmtId="1" fontId="2" fillId="3" borderId="2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9" fontId="0" fillId="0" borderId="0" xfId="3" applyFont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4" xfId="0" applyFont="1" applyBorder="1"/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0" borderId="6" xfId="1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43" fontId="0" fillId="0" borderId="9" xfId="1" applyFont="1" applyBorder="1" applyAlignment="1">
      <alignment horizontal="center"/>
    </xf>
    <xf numFmtId="167" fontId="0" fillId="4" borderId="11" xfId="0" applyNumberFormat="1" applyFill="1" applyBorder="1" applyAlignment="1">
      <alignment horizontal="center"/>
    </xf>
    <xf numFmtId="167" fontId="0" fillId="5" borderId="11" xfId="0" applyNumberFormat="1" applyFill="1" applyBorder="1" applyAlignment="1">
      <alignment horizontal="center"/>
    </xf>
    <xf numFmtId="167" fontId="0" fillId="6" borderId="11" xfId="0" applyNumberFormat="1" applyFill="1" applyBorder="1" applyAlignment="1">
      <alignment horizontal="center"/>
    </xf>
    <xf numFmtId="167" fontId="0" fillId="3" borderId="11" xfId="0" applyNumberFormat="1" applyFill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3" fontId="0" fillId="0" borderId="12" xfId="1" applyFont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167" fontId="2" fillId="5" borderId="2" xfId="0" applyNumberFormat="1" applyFont="1" applyFill="1" applyBorder="1" applyAlignment="1">
      <alignment horizontal="center"/>
    </xf>
    <xf numFmtId="167" fontId="2" fillId="6" borderId="2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6" fontId="0" fillId="0" borderId="5" xfId="3" applyNumberFormat="1" applyFont="1" applyBorder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166" fontId="0" fillId="0" borderId="8" xfId="3" applyNumberFormat="1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167" fontId="0" fillId="0" borderId="11" xfId="0" applyNumberFormat="1" applyBorder="1" applyAlignment="1">
      <alignment horizontal="center" vertical="center"/>
    </xf>
    <xf numFmtId="167" fontId="0" fillId="7" borderId="11" xfId="0" applyNumberFormat="1" applyFill="1" applyBorder="1" applyAlignment="1">
      <alignment horizontal="center" vertical="center"/>
    </xf>
    <xf numFmtId="166" fontId="0" fillId="7" borderId="11" xfId="3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7" fontId="2" fillId="0" borderId="2" xfId="0" applyNumberFormat="1" applyFont="1" applyBorder="1" applyAlignment="1">
      <alignment horizontal="center" vertical="center"/>
    </xf>
    <xf numFmtId="166" fontId="2" fillId="0" borderId="2" xfId="3" applyNumberFormat="1" applyFont="1" applyBorder="1" applyAlignment="1">
      <alignment horizontal="center" vertical="center"/>
    </xf>
    <xf numFmtId="0" fontId="16" fillId="0" borderId="3" xfId="0" applyFont="1" applyBorder="1" applyAlignment="1">
      <alignment vertical="center" wrapText="1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0" fontId="2" fillId="7" borderId="0" xfId="0" applyFont="1" applyFill="1"/>
    <xf numFmtId="0" fontId="0" fillId="7" borderId="0" xfId="0" applyFill="1" applyAlignment="1">
      <alignment horizontal="center" wrapText="1"/>
    </xf>
    <xf numFmtId="1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 u="sng">
                <a:solidFill>
                  <a:schemeClr val="tx1"/>
                </a:solidFill>
              </a:rPr>
              <a:t>2026 Forecast Scenarios - Tonnes NIS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Prodn Scenarios'!$C$4</c:f>
              <c:strCache>
                <c:ptCount val="1"/>
                <c:pt idx="0">
                  <c:v>Tonnes 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9B-4580-ADD9-CE6641665D5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9B-4580-ADD9-CE6641665D5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9B-4580-ADD9-CE6641665D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'Forecast Prodn Scenarios'!$B$5:$B$7</c:f>
              <c:strCache>
                <c:ptCount val="3"/>
                <c:pt idx="0">
                  <c:v>Low Yield Scenario </c:v>
                </c:pt>
                <c:pt idx="1">
                  <c:v>Nov25 Forecast Reported</c:v>
                </c:pt>
                <c:pt idx="2">
                  <c:v>High Yield Scenario </c:v>
                </c:pt>
              </c:strCache>
            </c:strRef>
          </c:cat>
          <c:val>
            <c:numRef>
              <c:f>'Forecast Prodn Scenarios'!$C$5:$C$7</c:f>
              <c:numCache>
                <c:formatCode>0</c:formatCode>
                <c:ptCount val="3"/>
                <c:pt idx="0">
                  <c:v>265.89999999999998</c:v>
                </c:pt>
                <c:pt idx="1">
                  <c:v>426.34999999999997</c:v>
                </c:pt>
                <c:pt idx="2">
                  <c:v>548.97500000000002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B-4580-ADD9-CE6641665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9999"/>
        <c:axId val="5390959"/>
      </c:barChart>
      <c:catAx>
        <c:axId val="538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959"/>
        <c:crosses val="autoZero"/>
        <c:auto val="1"/>
        <c:lblAlgn val="ctr"/>
        <c:lblOffset val="100"/>
        <c:noMultiLvlLbl val="0"/>
      </c:catAx>
      <c:valAx>
        <c:axId val="53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0</xdr:row>
      <xdr:rowOff>148590</xdr:rowOff>
    </xdr:from>
    <xdr:to>
      <xdr:col>12</xdr:col>
      <xdr:colOff>548640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13CD3-B269-A5AF-37D7-0B517C215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2te-my.sharepoint.com/personal/robbie_2te_com_au/Documents/Documents/2te%20Master%20Folder/2te%20Customers/1.%20Discovery/Discovery_Finance%20&amp;%20Reports/2026%20DM%20Finance/251105_DM%205%20year%20Budget.xlsx" TargetMode="External"/><Relationship Id="rId1" Type="http://schemas.openxmlformats.org/officeDocument/2006/relationships/externalLinkPath" Target="251105_DM%205%20year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yr Budget Summary_505t SLOW"/>
      <sheetName val="5yr Budget Summary_505t HC"/>
      <sheetName val="5yr Budget Summary_505t"/>
      <sheetName val="5yr Budget Summary_550t"/>
      <sheetName val="5yr Budget Summary_425t"/>
      <sheetName val="Production Forecast"/>
      <sheetName val="Production Forecast (2)"/>
      <sheetName val="Sprayed Ha vs proposed Ha"/>
      <sheetName val="2025 Actual Ha"/>
      <sheetName val="Workpaper on Ha comparison"/>
      <sheetName val="OpEx (2) play a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5">
          <cell r="O25">
            <v>83.35</v>
          </cell>
          <cell r="P25">
            <v>45.900000000000006</v>
          </cell>
          <cell r="Q25">
            <v>73.48</v>
          </cell>
        </row>
        <row r="26">
          <cell r="P26">
            <v>0.55068986202759462</v>
          </cell>
          <cell r="Q26">
            <v>0.88158368326334746</v>
          </cell>
        </row>
        <row r="28">
          <cell r="I28">
            <v>110.11000000000001</v>
          </cell>
          <cell r="J28">
            <v>87.4</v>
          </cell>
          <cell r="K28">
            <v>100.44</v>
          </cell>
        </row>
        <row r="29">
          <cell r="C29">
            <v>95.59</v>
          </cell>
          <cell r="D29">
            <v>84.4</v>
          </cell>
          <cell r="E29">
            <v>84.4</v>
          </cell>
          <cell r="J29">
            <v>0.79375170284261187</v>
          </cell>
          <cell r="K29">
            <v>0.91217873036054842</v>
          </cell>
        </row>
        <row r="30">
          <cell r="D30">
            <v>0.88293754576838579</v>
          </cell>
          <cell r="E30">
            <v>0.88293754576838579</v>
          </cell>
        </row>
        <row r="32">
          <cell r="U32">
            <v>97.3</v>
          </cell>
          <cell r="V32">
            <v>26.53</v>
          </cell>
          <cell r="W32">
            <v>35.376899999999999</v>
          </cell>
        </row>
        <row r="33">
          <cell r="V33">
            <v>0.27266187050359714</v>
          </cell>
          <cell r="W33">
            <v>0.3635858170606372</v>
          </cell>
        </row>
      </sheetData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bbie Commens" id="{D622ECB7-7DCC-4DB0-9AE6-611E9874432D}" userId="S::robbie@2te.com.au::e40f6685-45c4-4a50-8eda-420776c6bc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1-06T20:08:06.47" personId="{D622ECB7-7DCC-4DB0-9AE6-611E9874432D}" id="{6E9C61F8-78BB-4DF4-83F7-0EFF7E2876A9}">
    <text>244ha harvested</text>
  </threadedComment>
  <threadedComment ref="E4" dT="2025-11-06T20:06:00.85" personId="{D622ECB7-7DCC-4DB0-9AE6-611E9874432D}" id="{0EA44BC9-4AB7-4ECA-BF6E-4E142A23083E}">
    <text>Earthworks to recover another 16ha (LDR1, LDR2 &amp; LMR)</text>
  </threadedComment>
  <threadedComment ref="F4" dT="2025-11-13T21:18:50.48" personId="{D622ECB7-7DCC-4DB0-9AE6-611E9874432D}" id="{031261FF-6877-4524-9331-48B8718B625B}">
    <text>Earthworks to recover another 4ha</text>
  </threadedComment>
  <threadedComment ref="D20" dT="2025-11-05T02:26:50.76" personId="{D622ECB7-7DCC-4DB0-9AE6-611E9874432D}" id="{AE0D7B08-43FC-496C-B023-54BCAD093FB3}">
    <text>2 x $40k Heavy Duty Mulchers</text>
  </threadedComment>
  <threadedComment ref="E20" dT="2025-11-05T02:27:19.07" personId="{D622ECB7-7DCC-4DB0-9AE6-611E9874432D}" id="{16F6A379-1C6E-4730-894B-CCAC3619A641}">
    <text xml:space="preserve">Replace Schulte Slasher </text>
  </threadedComment>
  <threadedComment ref="F20" dT="2025-11-05T02:26:50.76" personId="{D622ECB7-7DCC-4DB0-9AE6-611E9874432D}" id="{94950D14-BDEC-4D07-AD2A-F70A9329DA18}">
    <text>2 x $40k Heavy Duty Mulchers</text>
  </threadedComment>
  <threadedComment ref="G20" dT="2025-11-05T02:26:50.76" personId="{D622ECB7-7DCC-4DB0-9AE6-611E9874432D}" id="{F414708A-A0C9-4318-8420-2A052BC641CB}">
    <text>2 x $40k Heavy Duty Mulchers</text>
  </threadedComment>
  <threadedComment ref="H20" dT="2025-11-05T02:27:19.07" personId="{D622ECB7-7DCC-4DB0-9AE6-611E9874432D}" id="{1497FD1C-2570-4310-A091-9FEB726E4296}">
    <text xml:space="preserve">Replace Schulte Slasher </text>
  </threadedComment>
  <threadedComment ref="D21" dT="2025-11-05T02:27:51.96" personId="{D622ECB7-7DCC-4DB0-9AE6-611E9874432D}" id="{4651FD9D-2AF9-47E8-91D7-DB540DDE4778}">
    <text>2 Kubota Buggies</text>
  </threadedComment>
  <threadedComment ref="E21" dT="2025-11-05T02:28:14.37" personId="{D622ECB7-7DCC-4DB0-9AE6-611E9874432D}" id="{269E8631-36F4-4BD1-BF0F-D39555E2C258}">
    <text>Replace 140hp John Deere each year</text>
  </threadedComment>
  <threadedComment ref="F21" dT="2025-11-05T02:28:14.37" personId="{D622ECB7-7DCC-4DB0-9AE6-611E9874432D}" id="{E59F045E-AC4B-44D3-B84C-50D37B12BD50}">
    <text>Replace 140hp John Deere each year</text>
  </threadedComment>
  <threadedComment ref="G21" dT="2025-11-05T02:28:14.37" personId="{D622ECB7-7DCC-4DB0-9AE6-611E9874432D}" id="{0C3C57C6-F87E-41DA-99D5-E80515100B39}">
    <text>Replace 140hp John Deere each year</text>
  </threadedComment>
  <threadedComment ref="H21" dT="2025-11-05T02:28:14.37" personId="{D622ECB7-7DCC-4DB0-9AE6-611E9874432D}" id="{78920136-8FB3-4455-A63B-D68A3E174F8C}">
    <text>Replace 140hp John Deere each year</text>
  </threadedComment>
  <threadedComment ref="D22" dT="2025-11-05T02:28:57.87" personId="{D622ECB7-7DCC-4DB0-9AE6-611E9874432D}" id="{823A7671-1356-4A7A-8D3C-86AD0774E674}">
    <text>Yannie Creek wide Soil Profiler</text>
  </threadedComment>
  <threadedComment ref="G22" dT="2025-11-05T02:28:57.87" personId="{D622ECB7-7DCC-4DB0-9AE6-611E9874432D}" id="{0D60C6E1-2010-4BEA-879B-9D684076E718}">
    <text>Replace Yannie Creek wide Soil Profiler with a new one</text>
  </threadedComment>
  <threadedComment ref="D27" dT="2025-11-05T02:30:01.94" personId="{D622ECB7-7DCC-4DB0-9AE6-611E9874432D}" id="{1468AC11-C4F8-4E0F-A8E5-691CF20FD7C4}">
    <text>Repair eroded gullies, open up additional harvestable orchard area each year over 5 years (16ha)</text>
  </threadedComment>
  <threadedComment ref="E27" dT="2025-11-05T02:30:01.94" personId="{D622ECB7-7DCC-4DB0-9AE6-611E9874432D}" id="{AC228B6C-F017-4A3F-98D7-CAC408EB80A8}">
    <text>Repair eroded gullies, open up additional harvestable orchard area each year over 5 years</text>
  </threadedComment>
  <threadedComment ref="F27" dT="2025-11-05T02:30:01.94" personId="{D622ECB7-7DCC-4DB0-9AE6-611E9874432D}" id="{A3590B6D-6211-4F85-B5AB-4691E9F90515}">
    <text>Repair eroded gullies, open up additional harvestable orchard area each year over 5 years</text>
  </threadedComment>
  <threadedComment ref="G27" dT="2025-11-05T02:30:01.94" personId="{D622ECB7-7DCC-4DB0-9AE6-611E9874432D}" id="{035087B2-81D6-4CC3-9452-993A0FB4D80B}">
    <text>Repair eroded gullies, open up additional harvestable orchard area each year over 5 years</text>
  </threadedComment>
  <threadedComment ref="E28" dT="2025-11-06T20:10:41.23" personId="{D622ECB7-7DCC-4DB0-9AE6-611E9874432D}" id="{9B90C8E7-3912-47F4-A134-9470CEAA38D9}">
    <text>Begin dehusk replacement works</text>
  </threadedComment>
  <threadedComment ref="F28" dT="2025-11-06T20:10:29.11" personId="{D622ECB7-7DCC-4DB0-9AE6-611E9874432D}" id="{2529063F-906A-42D3-8889-D6DCF1DA9207}">
    <text>Major dehusk replacement internally</text>
  </threadedComment>
  <threadedComment ref="D29" dT="2025-11-05T02:31:11.38" personId="{D622ECB7-7DCC-4DB0-9AE6-611E9874432D}" id="{647D027A-C80E-4E67-93EF-06ECD5CA25C7}">
    <text>Heavy prune to rejuvenate canopy growth</text>
  </threadedComment>
  <threadedComment ref="E29" dT="2025-11-05T02:31:11.38" personId="{D622ECB7-7DCC-4DB0-9AE6-611E9874432D}" id="{07F0D686-FA9D-46EE-AEE4-8951886C1284}">
    <text>Heavy prune to rejuvenate canopy growth</text>
  </threadedComment>
  <threadedComment ref="F29" dT="2025-11-05T02:31:11.38" personId="{D622ECB7-7DCC-4DB0-9AE6-611E9874432D}" id="{F54FF148-572A-4CDD-83F6-9A34ADAD5D49}">
    <text>Heavy prune to rejuvenate canopy growth</text>
  </threadedComment>
  <threadedComment ref="G29" dT="2025-11-05T02:31:11.38" personId="{D622ECB7-7DCC-4DB0-9AE6-611E9874432D}" id="{BAB463D1-CED8-4ACC-91A1-0DCDF46354E4}">
    <text>Heavy prune to rejuvenate canopy growth</text>
  </threadedComment>
  <threadedComment ref="H29" dT="2025-11-05T02:31:11.38" personId="{D622ECB7-7DCC-4DB0-9AE6-611E9874432D}" id="{D73F0332-2134-409D-B9A5-12EDF3700513}">
    <text>Heavy prune to rejuvenate canopy growth</text>
  </threadedComment>
  <threadedComment ref="C34" dT="2025-11-13T21:15:14.93" personId="{D622ECB7-7DCC-4DB0-9AE6-611E9874432D}" id="{CA5933B7-5226-4E89-B4CE-84B946FAC195}">
    <text>Based on $750/ha over 318.8 Ha for 11 months</text>
  </threadedComment>
  <threadedComment ref="D34" dT="2025-11-13T21:15:33.74" personId="{D622ECB7-7DCC-4DB0-9AE6-611E9874432D}" id="{EF936675-865B-49A3-A3CB-F38E3B3CCDD8}">
    <text>Based on $750/ha over 294 ha over 12 months</text>
  </threadedComment>
  <threadedComment ref="E34" dT="2025-11-13T21:18:37.51" personId="{D622ECB7-7DCC-4DB0-9AE6-611E9874432D}" id="{EC245E5A-54AC-43ED-A622-3BC3E6F611D4}">
    <text>Based on $750/ha over 274.5ha over 12 months.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1E0B-6E40-4CC0-AA8B-11B686231C56}">
  <dimension ref="B4:D7"/>
  <sheetViews>
    <sheetView tabSelected="1" workbookViewId="0">
      <selection activeCell="C14" sqref="C14"/>
    </sheetView>
  </sheetViews>
  <sheetFormatPr defaultRowHeight="14.4" x14ac:dyDescent="0.3"/>
  <cols>
    <col min="2" max="2" width="26.21875" bestFit="1" customWidth="1"/>
    <col min="3" max="3" width="10.33203125" customWidth="1"/>
  </cols>
  <sheetData>
    <row r="4" spans="2:4" x14ac:dyDescent="0.3">
      <c r="C4" t="s">
        <v>51</v>
      </c>
    </row>
    <row r="5" spans="2:4" x14ac:dyDescent="0.3">
      <c r="B5" s="185" t="s">
        <v>86</v>
      </c>
      <c r="C5" s="187">
        <f>'Production Forecast'!G30</f>
        <v>265.89999999999998</v>
      </c>
      <c r="D5" s="187"/>
    </row>
    <row r="6" spans="2:4" x14ac:dyDescent="0.3">
      <c r="B6" s="181" t="s">
        <v>85</v>
      </c>
      <c r="C6" s="187">
        <f>'Production Forecast'!G12</f>
        <v>426.34999999999997</v>
      </c>
      <c r="D6" s="187"/>
    </row>
    <row r="7" spans="2:4" x14ac:dyDescent="0.3">
      <c r="B7" s="183" t="s">
        <v>87</v>
      </c>
      <c r="C7" s="187">
        <f>'Production Forecast'!G21</f>
        <v>548.97500000000002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1C6D-1E20-4EF7-8AC2-C46134081400}">
  <dimension ref="A2:U32"/>
  <sheetViews>
    <sheetView zoomScale="85" zoomScaleNormal="85" workbookViewId="0">
      <selection activeCell="G20" sqref="G20"/>
    </sheetView>
  </sheetViews>
  <sheetFormatPr defaultRowHeight="14.4" x14ac:dyDescent="0.3"/>
  <cols>
    <col min="2" max="2" width="7.77734375" bestFit="1" customWidth="1"/>
    <col min="3" max="3" width="8.44140625" bestFit="1" customWidth="1"/>
    <col min="4" max="9" width="10.6640625" style="80" customWidth="1"/>
    <col min="10" max="10" width="1.109375" customWidth="1"/>
    <col min="11" max="11" width="12.88671875" bestFit="1" customWidth="1"/>
    <col min="12" max="12" width="5.109375" style="81" bestFit="1" customWidth="1"/>
    <col min="13" max="13" width="1.33203125" customWidth="1"/>
    <col min="14" max="14" width="14.88671875" customWidth="1"/>
    <col min="15" max="15" width="8.88671875" style="81"/>
    <col min="16" max="16" width="1.109375" customWidth="1"/>
    <col min="17" max="17" width="14.5546875" customWidth="1"/>
    <col min="18" max="18" width="8.88671875" style="81"/>
    <col min="19" max="19" width="1.44140625" customWidth="1"/>
    <col min="20" max="20" width="16.6640625" customWidth="1"/>
    <col min="21" max="21" width="8.88671875" style="81"/>
  </cols>
  <sheetData>
    <row r="2" spans="1:21" x14ac:dyDescent="0.3">
      <c r="A2" s="10" t="s">
        <v>84</v>
      </c>
    </row>
    <row r="6" spans="1:21" ht="15" thickBot="1" x14ac:dyDescent="0.35">
      <c r="A6" s="181" t="s">
        <v>85</v>
      </c>
      <c r="B6" s="182"/>
      <c r="C6" s="182"/>
    </row>
    <row r="7" spans="1:21" ht="28.8" x14ac:dyDescent="0.3">
      <c r="B7" s="82" t="s">
        <v>46</v>
      </c>
      <c r="C7" s="83" t="s">
        <v>47</v>
      </c>
      <c r="D7" s="84" t="s">
        <v>48</v>
      </c>
      <c r="E7" s="84" t="s">
        <v>49</v>
      </c>
      <c r="F7" s="84" t="s">
        <v>50</v>
      </c>
      <c r="G7" s="84" t="s">
        <v>51</v>
      </c>
      <c r="H7" s="85" t="s">
        <v>52</v>
      </c>
      <c r="I7" s="86" t="s">
        <v>53</v>
      </c>
      <c r="K7" s="87" t="s">
        <v>54</v>
      </c>
      <c r="L7" s="88"/>
      <c r="N7" s="89" t="s">
        <v>55</v>
      </c>
      <c r="O7" s="90" t="s">
        <v>56</v>
      </c>
      <c r="P7" s="91"/>
      <c r="Q7" s="89" t="s">
        <v>57</v>
      </c>
      <c r="R7" s="90" t="s">
        <v>56</v>
      </c>
      <c r="T7" s="89" t="s">
        <v>58</v>
      </c>
      <c r="U7" s="90" t="s">
        <v>56</v>
      </c>
    </row>
    <row r="8" spans="1:21" x14ac:dyDescent="0.3">
      <c r="B8" s="92" t="s">
        <v>59</v>
      </c>
      <c r="C8" s="93">
        <v>84.5</v>
      </c>
      <c r="D8" s="89">
        <f>E8*F8</f>
        <v>2000</v>
      </c>
      <c r="E8" s="89">
        <v>200</v>
      </c>
      <c r="F8" s="94">
        <v>10</v>
      </c>
      <c r="G8" s="95">
        <f>C8*D8/1000</f>
        <v>169</v>
      </c>
      <c r="H8" s="96">
        <f>G8/0.66</f>
        <v>256.06060606060606</v>
      </c>
      <c r="I8" s="97">
        <v>255</v>
      </c>
      <c r="K8" s="98">
        <v>208</v>
      </c>
      <c r="L8" s="99">
        <f>1-(I8/K8)</f>
        <v>-0.22596153846153855</v>
      </c>
      <c r="N8" s="93">
        <v>158.5</v>
      </c>
      <c r="O8" s="90">
        <v>2017</v>
      </c>
      <c r="Q8" s="93">
        <v>144.5</v>
      </c>
      <c r="R8" s="100">
        <v>2024</v>
      </c>
      <c r="T8" s="93">
        <v>156</v>
      </c>
      <c r="U8" s="100">
        <v>2024</v>
      </c>
    </row>
    <row r="9" spans="1:21" x14ac:dyDescent="0.3">
      <c r="B9" s="92" t="s">
        <v>60</v>
      </c>
      <c r="C9" s="93">
        <v>100.5</v>
      </c>
      <c r="D9" s="89">
        <f>E9*F9</f>
        <v>500</v>
      </c>
      <c r="E9" s="89">
        <v>200</v>
      </c>
      <c r="F9" s="94">
        <v>2.5</v>
      </c>
      <c r="G9" s="95">
        <f>C9*D9/1000</f>
        <v>50.25</v>
      </c>
      <c r="H9" s="96">
        <f>G9/0.66</f>
        <v>76.136363636363626</v>
      </c>
      <c r="I9" s="97">
        <v>75</v>
      </c>
      <c r="K9" s="98">
        <v>207</v>
      </c>
      <c r="L9" s="99">
        <f>1-(I9/K9)</f>
        <v>0.6376811594202898</v>
      </c>
      <c r="N9" s="93">
        <v>271</v>
      </c>
      <c r="O9" s="90">
        <v>2018</v>
      </c>
      <c r="Q9" s="93">
        <v>173.5</v>
      </c>
      <c r="R9" s="100">
        <v>2020</v>
      </c>
      <c r="T9" s="93">
        <v>122</v>
      </c>
      <c r="U9" s="100">
        <v>2024</v>
      </c>
    </row>
    <row r="10" spans="1:21" x14ac:dyDescent="0.3">
      <c r="B10" s="92" t="s">
        <v>61</v>
      </c>
      <c r="C10" s="93">
        <v>73.5</v>
      </c>
      <c r="D10" s="89">
        <f>E10*F10</f>
        <v>1900</v>
      </c>
      <c r="E10" s="89">
        <v>400</v>
      </c>
      <c r="F10" s="94">
        <v>4.75</v>
      </c>
      <c r="G10" s="95">
        <f>C10*D10/1000</f>
        <v>139.65</v>
      </c>
      <c r="H10" s="96">
        <f>G10/0.66</f>
        <v>211.59090909090909</v>
      </c>
      <c r="I10" s="97">
        <v>215</v>
      </c>
      <c r="K10" s="98">
        <v>150</v>
      </c>
      <c r="L10" s="99">
        <f>1-(I10/K10)</f>
        <v>-0.43333333333333335</v>
      </c>
      <c r="N10" s="93">
        <v>216</v>
      </c>
      <c r="O10" s="90">
        <v>2017</v>
      </c>
      <c r="Q10" s="93">
        <v>155</v>
      </c>
      <c r="R10" s="100">
        <v>2020</v>
      </c>
      <c r="T10" s="93">
        <v>87</v>
      </c>
      <c r="U10" s="100">
        <v>2024</v>
      </c>
    </row>
    <row r="11" spans="1:21" ht="15" thickBot="1" x14ac:dyDescent="0.35">
      <c r="B11" s="101" t="s">
        <v>62</v>
      </c>
      <c r="C11" s="102">
        <v>35.5</v>
      </c>
      <c r="D11" s="103">
        <f>E11*F11</f>
        <v>1900</v>
      </c>
      <c r="E11" s="103">
        <v>400</v>
      </c>
      <c r="F11" s="104">
        <v>4.75</v>
      </c>
      <c r="G11" s="105">
        <f>C11*D11/1000</f>
        <v>67.45</v>
      </c>
      <c r="H11" s="96">
        <f>G11/0.66</f>
        <v>102.1969696969697</v>
      </c>
      <c r="I11" s="106">
        <v>100</v>
      </c>
      <c r="K11" s="98">
        <v>75</v>
      </c>
      <c r="L11" s="99">
        <f>1-(I11/K11)</f>
        <v>-0.33333333333333326</v>
      </c>
      <c r="N11" s="89">
        <v>150.9</v>
      </c>
      <c r="O11" s="90">
        <v>2017</v>
      </c>
      <c r="Q11" s="93">
        <v>116</v>
      </c>
      <c r="R11" s="100">
        <v>2020</v>
      </c>
      <c r="T11" s="93">
        <v>105</v>
      </c>
      <c r="U11" s="100">
        <v>2024</v>
      </c>
    </row>
    <row r="12" spans="1:21" ht="15" thickBot="1" x14ac:dyDescent="0.35">
      <c r="B12" s="107" t="s">
        <v>15</v>
      </c>
      <c r="C12" s="108">
        <f>SUM(C8:C11)</f>
        <v>294</v>
      </c>
      <c r="D12" s="109">
        <f>G12/C12</f>
        <v>1.4501700680272107</v>
      </c>
      <c r="E12" s="110"/>
      <c r="F12" s="110"/>
      <c r="G12" s="111">
        <f>SUM(G8:G11)</f>
        <v>426.34999999999997</v>
      </c>
      <c r="H12" s="112">
        <f>SUM(H8:H11)</f>
        <v>645.9848484848485</v>
      </c>
      <c r="I12" s="113">
        <f>SUM(I8:I11)</f>
        <v>645</v>
      </c>
      <c r="K12" s="98">
        <f>SUM(K8:K11)</f>
        <v>640</v>
      </c>
      <c r="L12" s="99">
        <f>1-(I12/K12)</f>
        <v>-7.8125E-3</v>
      </c>
      <c r="N12" s="93">
        <f>SUM(N8:N11)</f>
        <v>796.4</v>
      </c>
      <c r="O12" s="90"/>
      <c r="Q12" s="93">
        <f>SUM(Q8:Q11)</f>
        <v>589</v>
      </c>
      <c r="R12" s="100"/>
      <c r="T12" s="93">
        <f>SUM(T8:T11)</f>
        <v>470</v>
      </c>
      <c r="U12" s="100"/>
    </row>
    <row r="14" spans="1:21" x14ac:dyDescent="0.3">
      <c r="G14" s="114">
        <f>G12/T12</f>
        <v>0.90712765957446806</v>
      </c>
      <c r="H14" s="114"/>
      <c r="I14" s="114">
        <f>I12/T12</f>
        <v>1.3723404255319149</v>
      </c>
    </row>
    <row r="15" spans="1:21" ht="15" thickBot="1" x14ac:dyDescent="0.35">
      <c r="A15" s="183" t="s">
        <v>82</v>
      </c>
      <c r="B15" s="184"/>
      <c r="C15" s="184"/>
      <c r="G15" s="114"/>
      <c r="H15" s="114"/>
      <c r="I15" s="114"/>
    </row>
    <row r="16" spans="1:21" ht="28.8" x14ac:dyDescent="0.3">
      <c r="B16" s="82" t="s">
        <v>46</v>
      </c>
      <c r="C16" s="83" t="s">
        <v>47</v>
      </c>
      <c r="D16" s="84" t="s">
        <v>48</v>
      </c>
      <c r="E16" s="84" t="s">
        <v>49</v>
      </c>
      <c r="F16" s="84" t="s">
        <v>50</v>
      </c>
      <c r="G16" s="84" t="s">
        <v>51</v>
      </c>
      <c r="H16" s="115" t="s">
        <v>52</v>
      </c>
      <c r="I16" s="116" t="s">
        <v>53</v>
      </c>
      <c r="K16" s="87" t="s">
        <v>54</v>
      </c>
      <c r="L16" s="88"/>
      <c r="N16" s="89" t="s">
        <v>55</v>
      </c>
      <c r="O16" s="90" t="s">
        <v>56</v>
      </c>
      <c r="P16" s="91"/>
      <c r="Q16" s="89" t="s">
        <v>57</v>
      </c>
      <c r="R16" s="90" t="s">
        <v>56</v>
      </c>
      <c r="T16" s="89" t="s">
        <v>58</v>
      </c>
      <c r="U16" s="90" t="s">
        <v>56</v>
      </c>
    </row>
    <row r="17" spans="1:21" x14ac:dyDescent="0.3">
      <c r="B17" s="92" t="s">
        <v>59</v>
      </c>
      <c r="C17" s="93">
        <v>84.5</v>
      </c>
      <c r="D17" s="89">
        <f>E17*F17</f>
        <v>2400</v>
      </c>
      <c r="E17" s="89">
        <v>200</v>
      </c>
      <c r="F17" s="94">
        <v>12</v>
      </c>
      <c r="G17" s="95">
        <f>C17*D17/1000</f>
        <v>202.8</v>
      </c>
      <c r="H17" s="117">
        <f>G17/0.66</f>
        <v>307.27272727272725</v>
      </c>
      <c r="I17" s="118">
        <v>210</v>
      </c>
      <c r="K17" s="98">
        <v>208</v>
      </c>
      <c r="L17" s="99">
        <f>1-(I17/K17)</f>
        <v>-9.6153846153845812E-3</v>
      </c>
      <c r="N17" s="93">
        <v>158.5</v>
      </c>
      <c r="O17" s="90">
        <v>2017</v>
      </c>
      <c r="Q17" s="93">
        <v>156</v>
      </c>
      <c r="R17" s="100">
        <v>2024</v>
      </c>
      <c r="T17" s="93">
        <v>156</v>
      </c>
      <c r="U17" s="100">
        <v>2024</v>
      </c>
    </row>
    <row r="18" spans="1:21" x14ac:dyDescent="0.3">
      <c r="B18" s="92" t="s">
        <v>60</v>
      </c>
      <c r="C18" s="93">
        <v>100.5</v>
      </c>
      <c r="D18" s="89">
        <f>E18*F18</f>
        <v>950</v>
      </c>
      <c r="E18" s="89">
        <v>200</v>
      </c>
      <c r="F18" s="94">
        <v>4.75</v>
      </c>
      <c r="G18" s="95">
        <f>C18*D18/1000</f>
        <v>95.474999999999994</v>
      </c>
      <c r="H18" s="117">
        <f>G18/0.66</f>
        <v>144.65909090909091</v>
      </c>
      <c r="I18" s="118">
        <v>160</v>
      </c>
      <c r="K18" s="98">
        <v>207</v>
      </c>
      <c r="L18" s="99">
        <f>1-(I18/K18)</f>
        <v>0.22705314009661837</v>
      </c>
      <c r="N18" s="93">
        <v>271</v>
      </c>
      <c r="O18" s="90">
        <v>2018</v>
      </c>
      <c r="Q18" s="93">
        <v>173.5</v>
      </c>
      <c r="R18" s="100">
        <v>2020</v>
      </c>
      <c r="T18" s="93">
        <v>122</v>
      </c>
      <c r="U18" s="100">
        <v>2024</v>
      </c>
    </row>
    <row r="19" spans="1:21" x14ac:dyDescent="0.3">
      <c r="B19" s="92" t="s">
        <v>61</v>
      </c>
      <c r="C19" s="93">
        <v>73.5</v>
      </c>
      <c r="D19" s="89">
        <f>E19*F19</f>
        <v>2300</v>
      </c>
      <c r="E19" s="89">
        <v>400</v>
      </c>
      <c r="F19" s="94">
        <v>5.75</v>
      </c>
      <c r="G19" s="95">
        <f>C19*D19/1000</f>
        <v>169.05</v>
      </c>
      <c r="H19" s="117">
        <f>G19/0.66</f>
        <v>256.13636363636363</v>
      </c>
      <c r="I19" s="118">
        <v>130</v>
      </c>
      <c r="K19" s="98">
        <v>150</v>
      </c>
      <c r="L19" s="99">
        <f>1-(I19/K19)</f>
        <v>0.1333333333333333</v>
      </c>
      <c r="N19" s="93">
        <v>216</v>
      </c>
      <c r="O19" s="90">
        <v>2017</v>
      </c>
      <c r="Q19" s="93">
        <v>155</v>
      </c>
      <c r="R19" s="100">
        <v>2020</v>
      </c>
      <c r="T19" s="93">
        <v>87</v>
      </c>
      <c r="U19" s="100">
        <v>2024</v>
      </c>
    </row>
    <row r="20" spans="1:21" ht="15" thickBot="1" x14ac:dyDescent="0.35">
      <c r="B20" s="101" t="s">
        <v>62</v>
      </c>
      <c r="C20" s="102">
        <v>35.5</v>
      </c>
      <c r="D20" s="103">
        <f>E20*F20</f>
        <v>2300</v>
      </c>
      <c r="E20" s="103">
        <v>400</v>
      </c>
      <c r="F20" s="104">
        <v>5.75</v>
      </c>
      <c r="G20" s="105">
        <f>C20*D20/1000</f>
        <v>81.650000000000006</v>
      </c>
      <c r="H20" s="117">
        <f>G20/0.66</f>
        <v>123.71212121212122</v>
      </c>
      <c r="I20" s="119">
        <v>65</v>
      </c>
      <c r="K20" s="98">
        <v>75</v>
      </c>
      <c r="L20" s="99">
        <f>1-(I20/K20)</f>
        <v>0.1333333333333333</v>
      </c>
      <c r="N20" s="89">
        <v>150.9</v>
      </c>
      <c r="O20" s="90">
        <v>2017</v>
      </c>
      <c r="Q20" s="93">
        <v>116</v>
      </c>
      <c r="R20" s="100">
        <v>2020</v>
      </c>
      <c r="T20" s="93">
        <v>105</v>
      </c>
      <c r="U20" s="100">
        <v>2024</v>
      </c>
    </row>
    <row r="21" spans="1:21" ht="15" thickBot="1" x14ac:dyDescent="0.35">
      <c r="B21" s="107" t="s">
        <v>15</v>
      </c>
      <c r="C21" s="108">
        <f>SUM(C17:C20)</f>
        <v>294</v>
      </c>
      <c r="D21" s="109">
        <f>G21/C21</f>
        <v>1.8672619047619048</v>
      </c>
      <c r="E21" s="110"/>
      <c r="F21" s="110"/>
      <c r="G21" s="111">
        <f>SUM(G17:G20)</f>
        <v>548.97500000000002</v>
      </c>
      <c r="H21" s="111">
        <f>SUM(H17:H20)</f>
        <v>831.780303030303</v>
      </c>
      <c r="I21" s="120">
        <f>SUM(I17:I20)</f>
        <v>565</v>
      </c>
      <c r="K21" s="98">
        <f>SUM(K17:K20)</f>
        <v>640</v>
      </c>
      <c r="L21" s="99">
        <f>1-(I21/K21)</f>
        <v>0.1171875</v>
      </c>
      <c r="N21" s="93">
        <f>SUM(N17:N20)</f>
        <v>796.4</v>
      </c>
      <c r="O21" s="90"/>
      <c r="Q21" s="93">
        <f>SUM(Q17:Q20)</f>
        <v>600.5</v>
      </c>
      <c r="R21" s="100"/>
      <c r="T21" s="93">
        <f>SUM(T17:T20)</f>
        <v>470</v>
      </c>
      <c r="U21" s="100"/>
    </row>
    <row r="23" spans="1:21" x14ac:dyDescent="0.3">
      <c r="G23" s="114">
        <f>G21/T21</f>
        <v>1.1680319148936171</v>
      </c>
      <c r="H23" s="114"/>
      <c r="I23" s="114">
        <f>I21/T21</f>
        <v>1.2021276595744681</v>
      </c>
    </row>
    <row r="24" spans="1:21" ht="15" thickBot="1" x14ac:dyDescent="0.35">
      <c r="A24" s="185" t="s">
        <v>83</v>
      </c>
      <c r="B24" s="185"/>
      <c r="C24" s="185"/>
      <c r="D24" s="186"/>
    </row>
    <row r="25" spans="1:21" ht="28.8" x14ac:dyDescent="0.3">
      <c r="B25" s="82" t="s">
        <v>46</v>
      </c>
      <c r="C25" s="83" t="s">
        <v>47</v>
      </c>
      <c r="D25" s="84" t="s">
        <v>48</v>
      </c>
      <c r="E25" s="84" t="s">
        <v>49</v>
      </c>
      <c r="F25" s="84" t="s">
        <v>50</v>
      </c>
      <c r="G25" s="84" t="s">
        <v>51</v>
      </c>
      <c r="H25" s="115" t="s">
        <v>52</v>
      </c>
      <c r="I25" s="116" t="s">
        <v>53</v>
      </c>
      <c r="K25" s="87" t="s">
        <v>54</v>
      </c>
      <c r="L25" s="88"/>
      <c r="N25" s="89" t="s">
        <v>55</v>
      </c>
      <c r="O25" s="90" t="s">
        <v>56</v>
      </c>
      <c r="P25" s="91"/>
      <c r="Q25" s="89" t="s">
        <v>57</v>
      </c>
      <c r="R25" s="90" t="s">
        <v>56</v>
      </c>
      <c r="T25" s="89" t="s">
        <v>58</v>
      </c>
      <c r="U25" s="90" t="s">
        <v>56</v>
      </c>
    </row>
    <row r="26" spans="1:21" x14ac:dyDescent="0.3">
      <c r="B26" s="92" t="s">
        <v>59</v>
      </c>
      <c r="C26" s="93">
        <v>84.5</v>
      </c>
      <c r="D26" s="89">
        <f>E26*F26</f>
        <v>1500</v>
      </c>
      <c r="E26" s="89">
        <v>200</v>
      </c>
      <c r="F26" s="94">
        <v>7.5</v>
      </c>
      <c r="G26" s="95">
        <f>C26*D26/1000</f>
        <v>126.75</v>
      </c>
      <c r="H26" s="117">
        <f>G26/0.66</f>
        <v>192.04545454545453</v>
      </c>
      <c r="I26" s="118">
        <v>125</v>
      </c>
      <c r="K26" s="98">
        <v>208</v>
      </c>
      <c r="L26" s="99">
        <f>1-(I26/K26)</f>
        <v>0.39903846153846156</v>
      </c>
      <c r="N26" s="93">
        <v>158.5</v>
      </c>
      <c r="O26" s="90">
        <v>2017</v>
      </c>
      <c r="Q26" s="93">
        <v>156</v>
      </c>
      <c r="R26" s="100">
        <v>2024</v>
      </c>
      <c r="T26" s="93">
        <v>156</v>
      </c>
      <c r="U26" s="100">
        <v>2024</v>
      </c>
    </row>
    <row r="27" spans="1:21" x14ac:dyDescent="0.3">
      <c r="B27" s="92" t="s">
        <v>60</v>
      </c>
      <c r="C27" s="93">
        <v>100.5</v>
      </c>
      <c r="D27" s="89">
        <f>E27*F27</f>
        <v>300</v>
      </c>
      <c r="E27" s="89">
        <v>200</v>
      </c>
      <c r="F27" s="94">
        <v>1.5</v>
      </c>
      <c r="G27" s="95">
        <f>C27*D27/1000</f>
        <v>30.15</v>
      </c>
      <c r="H27" s="117">
        <f>G27/0.66</f>
        <v>45.68181818181818</v>
      </c>
      <c r="I27" s="118">
        <v>100</v>
      </c>
      <c r="K27" s="98">
        <v>207</v>
      </c>
      <c r="L27" s="99">
        <f>1-(I27/K27)</f>
        <v>0.51690821256038655</v>
      </c>
      <c r="N27" s="93">
        <v>271</v>
      </c>
      <c r="O27" s="90">
        <v>2018</v>
      </c>
      <c r="Q27" s="93">
        <v>173.5</v>
      </c>
      <c r="R27" s="100">
        <v>2020</v>
      </c>
      <c r="T27" s="93">
        <v>122</v>
      </c>
      <c r="U27" s="100">
        <v>2024</v>
      </c>
    </row>
    <row r="28" spans="1:21" x14ac:dyDescent="0.3">
      <c r="B28" s="92" t="s">
        <v>61</v>
      </c>
      <c r="C28" s="93">
        <v>73.5</v>
      </c>
      <c r="D28" s="89">
        <f>E28*F28</f>
        <v>1000</v>
      </c>
      <c r="E28" s="89">
        <v>400</v>
      </c>
      <c r="F28" s="94">
        <v>2.5</v>
      </c>
      <c r="G28" s="95">
        <f>C28*D28/1000</f>
        <v>73.5</v>
      </c>
      <c r="H28" s="117">
        <f>G28/0.66</f>
        <v>111.36363636363636</v>
      </c>
      <c r="I28" s="118">
        <v>75</v>
      </c>
      <c r="K28" s="98">
        <v>150</v>
      </c>
      <c r="L28" s="99">
        <f>1-(I28/K28)</f>
        <v>0.5</v>
      </c>
      <c r="N28" s="93">
        <v>216</v>
      </c>
      <c r="O28" s="90">
        <v>2017</v>
      </c>
      <c r="Q28" s="93">
        <v>155</v>
      </c>
      <c r="R28" s="100">
        <v>2020</v>
      </c>
      <c r="T28" s="93">
        <v>87</v>
      </c>
      <c r="U28" s="100">
        <v>2024</v>
      </c>
    </row>
    <row r="29" spans="1:21" ht="15" thickBot="1" x14ac:dyDescent="0.35">
      <c r="B29" s="101" t="s">
        <v>62</v>
      </c>
      <c r="C29" s="102">
        <v>35.5</v>
      </c>
      <c r="D29" s="103">
        <f>E29*F29</f>
        <v>1000</v>
      </c>
      <c r="E29" s="103">
        <v>400</v>
      </c>
      <c r="F29" s="104">
        <v>2.5</v>
      </c>
      <c r="G29" s="105">
        <f>C29*D29/1000</f>
        <v>35.5</v>
      </c>
      <c r="H29" s="117">
        <f>G29/0.66</f>
        <v>53.787878787878782</v>
      </c>
      <c r="I29" s="119">
        <v>30</v>
      </c>
      <c r="K29" s="98">
        <v>75</v>
      </c>
      <c r="L29" s="99">
        <f>1-(I29/K29)</f>
        <v>0.6</v>
      </c>
      <c r="N29" s="89">
        <v>150.9</v>
      </c>
      <c r="O29" s="90">
        <v>2017</v>
      </c>
      <c r="Q29" s="93">
        <v>116</v>
      </c>
      <c r="R29" s="100">
        <v>2020</v>
      </c>
      <c r="T29" s="93">
        <v>105</v>
      </c>
      <c r="U29" s="100">
        <v>2024</v>
      </c>
    </row>
    <row r="30" spans="1:21" ht="15" thickBot="1" x14ac:dyDescent="0.35">
      <c r="B30" s="107" t="s">
        <v>15</v>
      </c>
      <c r="C30" s="108">
        <f>SUM(C26:C29)</f>
        <v>294</v>
      </c>
      <c r="D30" s="109">
        <f>G30/C30</f>
        <v>0.90442176870748292</v>
      </c>
      <c r="E30" s="110"/>
      <c r="F30" s="110"/>
      <c r="G30" s="111">
        <f>SUM(G26:G29)</f>
        <v>265.89999999999998</v>
      </c>
      <c r="H30" s="111">
        <f>SUM(H26:H29)</f>
        <v>402.87878787878788</v>
      </c>
      <c r="I30" s="120">
        <f>SUM(I26:I29)</f>
        <v>330</v>
      </c>
      <c r="K30" s="98">
        <f>SUM(K26:K29)</f>
        <v>640</v>
      </c>
      <c r="L30" s="99">
        <f>1-(I30/K30)</f>
        <v>0.484375</v>
      </c>
      <c r="N30" s="93">
        <f>SUM(N26:N29)</f>
        <v>796.4</v>
      </c>
      <c r="O30" s="90"/>
      <c r="Q30" s="93">
        <f>SUM(Q26:Q29)</f>
        <v>600.5</v>
      </c>
      <c r="R30" s="100"/>
      <c r="T30" s="93">
        <f>SUM(T26:T29)</f>
        <v>470</v>
      </c>
      <c r="U30" s="100"/>
    </row>
    <row r="32" spans="1:21" x14ac:dyDescent="0.3">
      <c r="G32" s="114">
        <f>G30/T30</f>
        <v>0.56574468085106377</v>
      </c>
      <c r="H32" s="114"/>
      <c r="I32" s="114">
        <f>I30/T30</f>
        <v>0.7021276595744681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628A-C1D3-4D8F-9ECB-8D04251DF91C}">
  <sheetPr>
    <pageSetUpPr fitToPage="1"/>
  </sheetPr>
  <dimension ref="B1:M51"/>
  <sheetViews>
    <sheetView zoomScaleNormal="100"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C50" sqref="C50"/>
    </sheetView>
  </sheetViews>
  <sheetFormatPr defaultRowHeight="18" outlineLevelRow="1" x14ac:dyDescent="0.35"/>
  <cols>
    <col min="1" max="1" width="8.88671875" customWidth="1"/>
    <col min="2" max="2" width="34.44140625" style="1" customWidth="1"/>
    <col min="3" max="3" width="13.5546875" style="2" customWidth="1"/>
    <col min="4" max="4" width="14.33203125" style="2" bestFit="1" customWidth="1"/>
    <col min="5" max="7" width="16.5546875" style="2" customWidth="1"/>
    <col min="8" max="8" width="16.5546875" style="3" customWidth="1"/>
    <col min="9" max="9" width="19.6640625" customWidth="1"/>
    <col min="10" max="10" width="16.5546875" bestFit="1" customWidth="1"/>
    <col min="11" max="12" width="12.5546875" style="1" bestFit="1" customWidth="1"/>
    <col min="13" max="13" width="14.6640625" style="1" bestFit="1" customWidth="1"/>
  </cols>
  <sheetData>
    <row r="1" spans="2:12" ht="18.600000000000001" thickBot="1" x14ac:dyDescent="0.4"/>
    <row r="2" spans="2:12" ht="18.600000000000001" thickBot="1" x14ac:dyDescent="0.4">
      <c r="B2" s="4"/>
      <c r="C2" s="5">
        <v>2025</v>
      </c>
      <c r="D2" s="5">
        <v>2026</v>
      </c>
      <c r="E2" s="5">
        <v>2027</v>
      </c>
      <c r="F2" s="5">
        <v>2028</v>
      </c>
      <c r="G2" s="5">
        <v>2029</v>
      </c>
      <c r="H2" s="6">
        <v>2030</v>
      </c>
    </row>
    <row r="3" spans="2:12" x14ac:dyDescent="0.35">
      <c r="B3" s="7" t="s">
        <v>0</v>
      </c>
      <c r="C3" s="8"/>
      <c r="D3" s="8"/>
      <c r="E3" s="8"/>
      <c r="F3" s="8"/>
      <c r="G3" s="8"/>
      <c r="H3" s="9"/>
      <c r="K3" s="10" t="s">
        <v>1</v>
      </c>
    </row>
    <row r="4" spans="2:12" x14ac:dyDescent="0.35">
      <c r="B4" s="11" t="s">
        <v>2</v>
      </c>
      <c r="C4" s="12">
        <v>281</v>
      </c>
      <c r="D4" s="12">
        <v>294</v>
      </c>
      <c r="E4" s="12">
        <f>258.5+16</f>
        <v>274.5</v>
      </c>
      <c r="F4" s="12">
        <f>258.5+16+4</f>
        <v>278.5</v>
      </c>
      <c r="G4" s="12">
        <f>F4</f>
        <v>278.5</v>
      </c>
      <c r="H4" s="12">
        <f>G4</f>
        <v>278.5</v>
      </c>
      <c r="K4" s="13">
        <v>1</v>
      </c>
      <c r="L4" s="14" t="s">
        <v>3</v>
      </c>
    </row>
    <row r="5" spans="2:12" x14ac:dyDescent="0.35">
      <c r="B5" s="11" t="s">
        <v>4</v>
      </c>
      <c r="C5" s="15">
        <f>C6/C4</f>
        <v>0.60035587188612094</v>
      </c>
      <c r="D5" s="16">
        <f>D6/D4</f>
        <v>1.4455782312925169</v>
      </c>
      <c r="E5" s="16">
        <f t="shared" ref="E5:H5" si="0">E6/E4</f>
        <v>2.0036429872495445</v>
      </c>
      <c r="F5" s="16">
        <f t="shared" si="0"/>
        <v>2.4236983842010771</v>
      </c>
      <c r="G5" s="16">
        <f t="shared" si="0"/>
        <v>2.96229802513465</v>
      </c>
      <c r="H5" s="16">
        <f t="shared" si="0"/>
        <v>2.96229802513465</v>
      </c>
      <c r="K5" s="13">
        <v>2</v>
      </c>
      <c r="L5" s="1" t="s">
        <v>5</v>
      </c>
    </row>
    <row r="6" spans="2:12" x14ac:dyDescent="0.35">
      <c r="B6" s="11" t="s">
        <v>6</v>
      </c>
      <c r="C6" s="12">
        <v>168.7</v>
      </c>
      <c r="D6" s="17">
        <v>425</v>
      </c>
      <c r="E6" s="17">
        <v>550</v>
      </c>
      <c r="F6" s="17">
        <v>675</v>
      </c>
      <c r="G6" s="17">
        <v>825</v>
      </c>
      <c r="H6" s="18">
        <v>825</v>
      </c>
      <c r="K6" s="19">
        <v>3</v>
      </c>
      <c r="L6" s="1" t="s">
        <v>7</v>
      </c>
    </row>
    <row r="7" spans="2:12" outlineLevel="1" x14ac:dyDescent="0.35">
      <c r="B7" s="11" t="s">
        <v>8</v>
      </c>
      <c r="C7" s="20">
        <v>925000</v>
      </c>
      <c r="D7" s="21">
        <v>975000</v>
      </c>
      <c r="E7" s="21">
        <f>D7+75000</f>
        <v>1050000</v>
      </c>
      <c r="F7" s="21">
        <f>E7+75000</f>
        <v>1125000</v>
      </c>
      <c r="G7" s="21">
        <f t="shared" ref="G7:H7" si="1">F7+125000</f>
        <v>1250000</v>
      </c>
      <c r="H7" s="21">
        <f t="shared" si="1"/>
        <v>1375000</v>
      </c>
      <c r="K7" s="22">
        <v>4</v>
      </c>
      <c r="L7" s="1" t="s">
        <v>9</v>
      </c>
    </row>
    <row r="8" spans="2:12" outlineLevel="1" x14ac:dyDescent="0.35">
      <c r="B8" s="11" t="s">
        <v>10</v>
      </c>
      <c r="C8" s="20">
        <v>800000</v>
      </c>
      <c r="D8" s="21">
        <v>725000</v>
      </c>
      <c r="E8" s="21">
        <f>D8+175000</f>
        <v>900000</v>
      </c>
      <c r="F8" s="21">
        <f>E8+175000</f>
        <v>1075000</v>
      </c>
      <c r="G8" s="21">
        <f>F8+175000</f>
        <v>1250000</v>
      </c>
      <c r="H8" s="21">
        <f>G8+175000</f>
        <v>1425000</v>
      </c>
      <c r="K8" s="22">
        <v>5</v>
      </c>
      <c r="L8" s="1" t="s">
        <v>11</v>
      </c>
    </row>
    <row r="9" spans="2:12" ht="18.600000000000001" outlineLevel="1" thickBot="1" x14ac:dyDescent="0.4">
      <c r="B9" s="23" t="s">
        <v>12</v>
      </c>
      <c r="C9" s="24">
        <f t="shared" ref="C9:H9" si="2">SUM(C7:C8)</f>
        <v>1725000</v>
      </c>
      <c r="D9" s="24">
        <f t="shared" si="2"/>
        <v>1700000</v>
      </c>
      <c r="E9" s="24">
        <f t="shared" si="2"/>
        <v>1950000</v>
      </c>
      <c r="F9" s="24">
        <f t="shared" si="2"/>
        <v>2200000</v>
      </c>
      <c r="G9" s="24">
        <f t="shared" si="2"/>
        <v>2500000</v>
      </c>
      <c r="H9" s="25">
        <f t="shared" si="2"/>
        <v>2800000</v>
      </c>
      <c r="K9" s="26"/>
    </row>
    <row r="10" spans="2:12" ht="18.600000000000001" outlineLevel="1" thickBot="1" x14ac:dyDescent="0.4">
      <c r="B10" s="27" t="s">
        <v>13</v>
      </c>
      <c r="C10" s="28">
        <f t="shared" ref="C10:H10" si="3">C9/(1000*C6)</f>
        <v>10.225251926496739</v>
      </c>
      <c r="D10" s="28">
        <f t="shared" si="3"/>
        <v>4</v>
      </c>
      <c r="E10" s="28">
        <f t="shared" si="3"/>
        <v>3.5454545454545454</v>
      </c>
      <c r="F10" s="28">
        <f t="shared" si="3"/>
        <v>3.2592592592592591</v>
      </c>
      <c r="G10" s="28">
        <f t="shared" si="3"/>
        <v>3.0303030303030303</v>
      </c>
      <c r="H10" s="29">
        <f t="shared" si="3"/>
        <v>3.393939393939394</v>
      </c>
      <c r="K10"/>
    </row>
    <row r="11" spans="2:12" ht="18.600000000000001" outlineLevel="1" thickBot="1" x14ac:dyDescent="0.4">
      <c r="C11" s="30"/>
      <c r="D11" s="30"/>
      <c r="E11" s="30"/>
      <c r="F11" s="30"/>
      <c r="G11" s="30"/>
      <c r="H11" s="30"/>
      <c r="K11"/>
    </row>
    <row r="12" spans="2:12" outlineLevel="1" x14ac:dyDescent="0.35">
      <c r="B12" s="31" t="s">
        <v>14</v>
      </c>
      <c r="C12" s="32"/>
      <c r="D12" s="32"/>
      <c r="E12" s="32"/>
      <c r="F12" s="32"/>
      <c r="G12" s="32"/>
      <c r="H12" s="33"/>
      <c r="K12"/>
    </row>
    <row r="13" spans="2:12" outlineLevel="1" x14ac:dyDescent="0.35">
      <c r="B13" s="11" t="s">
        <v>8</v>
      </c>
      <c r="C13" s="34">
        <f>C7/C$4</f>
        <v>3291.8149466192172</v>
      </c>
      <c r="D13" s="34">
        <f t="shared" ref="D13:H13" si="4">D7/D$4</f>
        <v>3316.3265306122448</v>
      </c>
      <c r="E13" s="34">
        <f t="shared" si="4"/>
        <v>3825.1366120218581</v>
      </c>
      <c r="F13" s="34">
        <f t="shared" si="4"/>
        <v>4039.4973070017954</v>
      </c>
      <c r="G13" s="34">
        <f t="shared" si="4"/>
        <v>4488.3303411131055</v>
      </c>
      <c r="H13" s="35">
        <f t="shared" si="4"/>
        <v>4937.1633752244161</v>
      </c>
      <c r="K13"/>
    </row>
    <row r="14" spans="2:12" ht="18.600000000000001" outlineLevel="1" thickBot="1" x14ac:dyDescent="0.4">
      <c r="B14" s="23" t="s">
        <v>10</v>
      </c>
      <c r="C14" s="36">
        <f t="shared" ref="C14:H15" si="5">C8/C$4</f>
        <v>2846.9750889679717</v>
      </c>
      <c r="D14" s="36">
        <f t="shared" si="5"/>
        <v>2465.9863945578231</v>
      </c>
      <c r="E14" s="36">
        <f t="shared" si="5"/>
        <v>3278.688524590164</v>
      </c>
      <c r="F14" s="36">
        <f t="shared" si="5"/>
        <v>3859.9640933572709</v>
      </c>
      <c r="G14" s="36">
        <f t="shared" si="5"/>
        <v>4488.3303411131055</v>
      </c>
      <c r="H14" s="37">
        <f t="shared" si="5"/>
        <v>5116.696588868941</v>
      </c>
      <c r="K14"/>
    </row>
    <row r="15" spans="2:12" ht="18.600000000000001" outlineLevel="1" thickBot="1" x14ac:dyDescent="0.4">
      <c r="B15" s="27" t="s">
        <v>15</v>
      </c>
      <c r="C15" s="38">
        <f t="shared" si="5"/>
        <v>6138.7900355871889</v>
      </c>
      <c r="D15" s="38">
        <f t="shared" si="5"/>
        <v>5782.3129251700684</v>
      </c>
      <c r="E15" s="38">
        <f t="shared" si="5"/>
        <v>7103.8251366120221</v>
      </c>
      <c r="F15" s="38">
        <f>F13+F14</f>
        <v>7899.4614003590668</v>
      </c>
      <c r="G15" s="38">
        <f t="shared" si="5"/>
        <v>8976.6606822262111</v>
      </c>
      <c r="H15" s="39">
        <f t="shared" si="5"/>
        <v>10053.859964093357</v>
      </c>
      <c r="K15"/>
    </row>
    <row r="16" spans="2:12" ht="18.600000000000001" outlineLevel="1" thickBot="1" x14ac:dyDescent="0.4">
      <c r="K16"/>
    </row>
    <row r="17" spans="2:12" outlineLevel="1" x14ac:dyDescent="0.35">
      <c r="B17" s="31" t="s">
        <v>16</v>
      </c>
      <c r="C17" s="40"/>
      <c r="D17" s="40"/>
      <c r="E17" s="40"/>
      <c r="F17" s="40"/>
      <c r="G17" s="40"/>
      <c r="H17" s="41"/>
      <c r="K17"/>
    </row>
    <row r="18" spans="2:12" outlineLevel="1" x14ac:dyDescent="0.35">
      <c r="B18" s="11" t="s">
        <v>17</v>
      </c>
      <c r="C18" s="20">
        <v>105000</v>
      </c>
      <c r="D18" s="20"/>
      <c r="E18" s="20"/>
      <c r="F18" s="20"/>
      <c r="G18" s="20"/>
      <c r="H18" s="42"/>
      <c r="K18"/>
    </row>
    <row r="19" spans="2:12" outlineLevel="1" x14ac:dyDescent="0.35">
      <c r="B19" s="11" t="s">
        <v>18</v>
      </c>
      <c r="C19" s="20">
        <v>55000</v>
      </c>
      <c r="D19" s="43"/>
      <c r="E19" s="20"/>
      <c r="F19" s="20"/>
      <c r="G19" s="20"/>
      <c r="H19" s="42"/>
      <c r="K19"/>
    </row>
    <row r="20" spans="2:12" outlineLevel="1" x14ac:dyDescent="0.35">
      <c r="B20" s="11" t="s">
        <v>19</v>
      </c>
      <c r="C20" s="34"/>
      <c r="D20" s="34">
        <v>80000</v>
      </c>
      <c r="E20" s="34">
        <v>75000</v>
      </c>
      <c r="F20" s="34"/>
      <c r="G20" s="35">
        <v>80000</v>
      </c>
      <c r="H20" s="34">
        <v>75000</v>
      </c>
      <c r="K20"/>
    </row>
    <row r="21" spans="2:12" outlineLevel="1" x14ac:dyDescent="0.35">
      <c r="B21" s="11" t="s">
        <v>20</v>
      </c>
      <c r="C21" s="20"/>
      <c r="D21" s="43">
        <v>70000</v>
      </c>
      <c r="E21" s="20">
        <v>200000</v>
      </c>
      <c r="F21" s="20">
        <v>200000</v>
      </c>
      <c r="G21" s="20">
        <v>200000</v>
      </c>
      <c r="H21" s="42">
        <v>200000</v>
      </c>
      <c r="K21"/>
    </row>
    <row r="22" spans="2:12" outlineLevel="1" x14ac:dyDescent="0.35">
      <c r="B22" s="23" t="s">
        <v>21</v>
      </c>
      <c r="C22" s="20"/>
      <c r="D22" s="43">
        <v>90000</v>
      </c>
      <c r="E22" s="20"/>
      <c r="F22" s="20"/>
      <c r="G22" s="20"/>
      <c r="H22" s="42"/>
      <c r="K22" s="10" t="s">
        <v>22</v>
      </c>
    </row>
    <row r="23" spans="2:12" ht="18.600000000000001" outlineLevel="1" thickBot="1" x14ac:dyDescent="0.4">
      <c r="B23" s="44" t="s">
        <v>23</v>
      </c>
      <c r="C23" s="45"/>
      <c r="D23" s="46"/>
      <c r="E23" s="45"/>
      <c r="F23" s="45">
        <v>150000</v>
      </c>
      <c r="G23" s="45"/>
      <c r="H23" s="47"/>
      <c r="K23" s="10"/>
    </row>
    <row r="24" spans="2:12" ht="18.600000000000001" outlineLevel="1" thickBot="1" x14ac:dyDescent="0.4">
      <c r="B24" s="27" t="s">
        <v>15</v>
      </c>
      <c r="C24" s="48">
        <f>SUM(C18:C22)</f>
        <v>160000</v>
      </c>
      <c r="D24" s="49">
        <f>SUM(D18:D22)</f>
        <v>240000</v>
      </c>
      <c r="E24" s="48">
        <f>SUM(E18:E22)</f>
        <v>275000</v>
      </c>
      <c r="F24" s="48">
        <f>SUM(F18:F23)</f>
        <v>350000</v>
      </c>
      <c r="G24" s="48">
        <f>SUM(G18:G22)</f>
        <v>280000</v>
      </c>
      <c r="H24" s="50">
        <f>SUM(H18:H22)</f>
        <v>275000</v>
      </c>
      <c r="K24" s="13">
        <v>1</v>
      </c>
      <c r="L24" s="14" t="s">
        <v>81</v>
      </c>
    </row>
    <row r="25" spans="2:12" ht="18.600000000000001" outlineLevel="1" thickBot="1" x14ac:dyDescent="0.4">
      <c r="C25" s="51"/>
      <c r="D25" s="52"/>
      <c r="E25" s="51"/>
      <c r="F25" s="51"/>
      <c r="G25" s="51"/>
      <c r="H25" s="51"/>
      <c r="K25" s="13">
        <v>2</v>
      </c>
      <c r="L25" s="1" t="s">
        <v>24</v>
      </c>
    </row>
    <row r="26" spans="2:12" outlineLevel="1" x14ac:dyDescent="0.35">
      <c r="B26" s="31" t="s">
        <v>25</v>
      </c>
      <c r="C26" s="32"/>
      <c r="D26" s="32"/>
      <c r="E26" s="32"/>
      <c r="F26" s="32"/>
      <c r="G26" s="32"/>
      <c r="H26" s="33"/>
      <c r="K26" s="19">
        <v>3</v>
      </c>
      <c r="L26" s="1" t="s">
        <v>26</v>
      </c>
    </row>
    <row r="27" spans="2:12" outlineLevel="1" x14ac:dyDescent="0.35">
      <c r="B27" s="11" t="s">
        <v>27</v>
      </c>
      <c r="C27" s="20"/>
      <c r="D27" s="43">
        <v>55000</v>
      </c>
      <c r="E27" s="20">
        <v>55000</v>
      </c>
      <c r="F27" s="20">
        <v>27500</v>
      </c>
      <c r="G27" s="20">
        <v>27500</v>
      </c>
      <c r="H27" s="42"/>
      <c r="K27" s="22">
        <v>4</v>
      </c>
      <c r="L27" s="1" t="s">
        <v>28</v>
      </c>
    </row>
    <row r="28" spans="2:12" outlineLevel="1" x14ac:dyDescent="0.35">
      <c r="B28" s="11" t="s">
        <v>29</v>
      </c>
      <c r="C28" s="20"/>
      <c r="D28" s="43"/>
      <c r="E28" s="20"/>
      <c r="F28" s="20"/>
      <c r="G28" s="20"/>
      <c r="H28" s="42"/>
      <c r="K28" s="22">
        <v>5</v>
      </c>
      <c r="L28" s="1" t="s">
        <v>30</v>
      </c>
    </row>
    <row r="29" spans="2:12" ht="18.600000000000001" outlineLevel="1" thickBot="1" x14ac:dyDescent="0.4">
      <c r="B29" s="23" t="s">
        <v>9</v>
      </c>
      <c r="C29" s="24"/>
      <c r="D29" s="53">
        <v>45000</v>
      </c>
      <c r="E29" s="24">
        <v>45000</v>
      </c>
      <c r="F29" s="24">
        <v>45000</v>
      </c>
      <c r="G29" s="24">
        <v>45000</v>
      </c>
      <c r="H29" s="24">
        <v>45000</v>
      </c>
    </row>
    <row r="30" spans="2:12" ht="18.600000000000001" outlineLevel="1" thickBot="1" x14ac:dyDescent="0.4">
      <c r="B30" s="27" t="s">
        <v>15</v>
      </c>
      <c r="C30" s="48">
        <f>SUM(C25:C29)</f>
        <v>0</v>
      </c>
      <c r="D30" s="48">
        <f>SUM(D27:D29)</f>
        <v>100000</v>
      </c>
      <c r="E30" s="48">
        <f t="shared" ref="E30:H30" si="6">SUM(E27:E29)</f>
        <v>100000</v>
      </c>
      <c r="F30" s="48">
        <f t="shared" si="6"/>
        <v>72500</v>
      </c>
      <c r="G30" s="48">
        <f t="shared" si="6"/>
        <v>72500</v>
      </c>
      <c r="H30" s="50">
        <f t="shared" si="6"/>
        <v>45000</v>
      </c>
    </row>
    <row r="31" spans="2:12" ht="18.600000000000001" outlineLevel="1" thickBot="1" x14ac:dyDescent="0.4">
      <c r="B31" s="54"/>
      <c r="C31" s="55"/>
      <c r="D31" s="55"/>
      <c r="E31" s="55"/>
      <c r="F31" s="55"/>
      <c r="G31" s="55"/>
      <c r="H31" s="55"/>
    </row>
    <row r="32" spans="2:12" ht="18.600000000000001" outlineLevel="1" thickBot="1" x14ac:dyDescent="0.4">
      <c r="B32" s="56" t="s">
        <v>31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50">
        <v>0</v>
      </c>
    </row>
    <row r="33" spans="2:10" ht="18.600000000000001" outlineLevel="1" thickBot="1" x14ac:dyDescent="0.4">
      <c r="B33" s="57"/>
      <c r="C33" s="55"/>
      <c r="D33" s="55"/>
      <c r="E33" s="55"/>
      <c r="F33" s="55"/>
      <c r="G33" s="55"/>
      <c r="H33" s="55"/>
    </row>
    <row r="34" spans="2:10" ht="18.600000000000001" outlineLevel="1" thickBot="1" x14ac:dyDescent="0.4">
      <c r="B34" s="56" t="s">
        <v>32</v>
      </c>
      <c r="C34" s="48">
        <v>219175</v>
      </c>
      <c r="D34" s="48">
        <f>750*D4</f>
        <v>220500</v>
      </c>
      <c r="E34" s="48">
        <f>750*E4</f>
        <v>205875</v>
      </c>
      <c r="F34" s="48">
        <f>750*F4</f>
        <v>208875</v>
      </c>
      <c r="G34" s="48">
        <f>750*G4</f>
        <v>208875</v>
      </c>
      <c r="H34" s="48">
        <f>750*H4</f>
        <v>208875</v>
      </c>
    </row>
    <row r="35" spans="2:10" ht="18.600000000000001" outlineLevel="1" thickBot="1" x14ac:dyDescent="0.4">
      <c r="C35" s="55"/>
      <c r="D35" s="55"/>
      <c r="E35" s="55"/>
      <c r="F35" s="55"/>
      <c r="G35" s="55"/>
      <c r="H35" s="55"/>
    </row>
    <row r="36" spans="2:10" ht="18.600000000000001" thickBot="1" x14ac:dyDescent="0.4">
      <c r="B36" s="27" t="s">
        <v>33</v>
      </c>
      <c r="C36" s="48">
        <f>SUM(C37:C41)</f>
        <v>2104175</v>
      </c>
      <c r="D36" s="48">
        <f t="shared" ref="D36:H36" si="7">SUM(D37:D41)</f>
        <v>2260500</v>
      </c>
      <c r="E36" s="48">
        <f t="shared" si="7"/>
        <v>2530875</v>
      </c>
      <c r="F36" s="48">
        <f t="shared" si="7"/>
        <v>2831375</v>
      </c>
      <c r="G36" s="48">
        <f t="shared" si="7"/>
        <v>3061375</v>
      </c>
      <c r="H36" s="48">
        <f t="shared" si="7"/>
        <v>3328875</v>
      </c>
    </row>
    <row r="37" spans="2:10" x14ac:dyDescent="0.35">
      <c r="B37" s="58" t="s">
        <v>34</v>
      </c>
      <c r="C37" s="59">
        <f t="shared" ref="C37:H37" si="8">C9</f>
        <v>1725000</v>
      </c>
      <c r="D37" s="59">
        <f t="shared" si="8"/>
        <v>1700000</v>
      </c>
      <c r="E37" s="59">
        <f t="shared" si="8"/>
        <v>1950000</v>
      </c>
      <c r="F37" s="59">
        <f t="shared" si="8"/>
        <v>2200000</v>
      </c>
      <c r="G37" s="59">
        <f t="shared" si="8"/>
        <v>2500000</v>
      </c>
      <c r="H37" s="60">
        <f t="shared" si="8"/>
        <v>2800000</v>
      </c>
    </row>
    <row r="38" spans="2:10" x14ac:dyDescent="0.35">
      <c r="B38" s="11" t="s">
        <v>35</v>
      </c>
      <c r="C38" s="20">
        <f>C24</f>
        <v>160000</v>
      </c>
      <c r="D38" s="20">
        <f t="shared" ref="D38:H38" si="9">D24</f>
        <v>240000</v>
      </c>
      <c r="E38" s="20">
        <f t="shared" si="9"/>
        <v>275000</v>
      </c>
      <c r="F38" s="20">
        <f t="shared" si="9"/>
        <v>350000</v>
      </c>
      <c r="G38" s="20">
        <f t="shared" si="9"/>
        <v>280000</v>
      </c>
      <c r="H38" s="42">
        <f t="shared" si="9"/>
        <v>275000</v>
      </c>
    </row>
    <row r="39" spans="2:10" x14ac:dyDescent="0.35">
      <c r="B39" s="11" t="s">
        <v>36</v>
      </c>
      <c r="C39" s="20">
        <f>C30</f>
        <v>0</v>
      </c>
      <c r="D39" s="20">
        <f t="shared" ref="D39:H39" si="10">D30</f>
        <v>100000</v>
      </c>
      <c r="E39" s="20">
        <f t="shared" si="10"/>
        <v>100000</v>
      </c>
      <c r="F39" s="20">
        <f t="shared" si="10"/>
        <v>72500</v>
      </c>
      <c r="G39" s="20">
        <f t="shared" si="10"/>
        <v>72500</v>
      </c>
      <c r="H39" s="42">
        <f t="shared" si="10"/>
        <v>45000</v>
      </c>
    </row>
    <row r="40" spans="2:10" x14ac:dyDescent="0.35">
      <c r="B40" s="11" t="str">
        <f>B32</f>
        <v xml:space="preserve">Extraordinary Projects </v>
      </c>
      <c r="C40" s="34">
        <f>C32</f>
        <v>0</v>
      </c>
      <c r="D40" s="34">
        <f t="shared" ref="D40:H40" si="11">D32</f>
        <v>0</v>
      </c>
      <c r="E40" s="34">
        <f t="shared" si="11"/>
        <v>0</v>
      </c>
      <c r="F40" s="34">
        <f t="shared" si="11"/>
        <v>0</v>
      </c>
      <c r="G40" s="34">
        <f t="shared" si="11"/>
        <v>0</v>
      </c>
      <c r="H40" s="35">
        <f t="shared" si="11"/>
        <v>0</v>
      </c>
    </row>
    <row r="41" spans="2:10" ht="18.600000000000001" thickBot="1" x14ac:dyDescent="0.4">
      <c r="B41" s="61" t="s">
        <v>37</v>
      </c>
      <c r="C41" s="62">
        <f>C34</f>
        <v>219175</v>
      </c>
      <c r="D41" s="62">
        <f t="shared" ref="D41:H41" si="12">D34</f>
        <v>220500</v>
      </c>
      <c r="E41" s="62">
        <f t="shared" si="12"/>
        <v>205875</v>
      </c>
      <c r="F41" s="62">
        <f t="shared" si="12"/>
        <v>208875</v>
      </c>
      <c r="G41" s="62">
        <f t="shared" si="12"/>
        <v>208875</v>
      </c>
      <c r="H41" s="63">
        <f t="shared" si="12"/>
        <v>208875</v>
      </c>
    </row>
    <row r="42" spans="2:10" ht="18.600000000000001" thickBot="1" x14ac:dyDescent="0.4"/>
    <row r="43" spans="2:10" x14ac:dyDescent="0.35">
      <c r="B43" s="31" t="s">
        <v>38</v>
      </c>
      <c r="C43" s="64"/>
      <c r="D43" s="64"/>
      <c r="E43" s="64"/>
      <c r="F43" s="64"/>
      <c r="G43" s="64"/>
      <c r="H43" s="65"/>
    </row>
    <row r="44" spans="2:10" x14ac:dyDescent="0.35">
      <c r="B44" s="66" t="s">
        <v>39</v>
      </c>
      <c r="C44" s="67">
        <v>4</v>
      </c>
      <c r="D44" s="67">
        <v>4.5</v>
      </c>
      <c r="E44" s="67">
        <v>4.75</v>
      </c>
      <c r="F44" s="67">
        <v>5</v>
      </c>
      <c r="G44" s="67">
        <v>5.25</v>
      </c>
      <c r="H44" s="68">
        <v>5.5</v>
      </c>
    </row>
    <row r="45" spans="2:10" ht="18.600000000000001" thickBot="1" x14ac:dyDescent="0.4">
      <c r="B45" s="69" t="s">
        <v>40</v>
      </c>
      <c r="C45" s="36">
        <f t="shared" ref="C45:H45" si="13">(1000*C44)*C5</f>
        <v>2401.4234875444836</v>
      </c>
      <c r="D45" s="36">
        <f t="shared" si="13"/>
        <v>6505.1020408163258</v>
      </c>
      <c r="E45" s="36">
        <f t="shared" si="13"/>
        <v>9517.3041894353355</v>
      </c>
      <c r="F45" s="36">
        <f t="shared" si="13"/>
        <v>12118.491921005385</v>
      </c>
      <c r="G45" s="36">
        <f t="shared" si="13"/>
        <v>15552.064631956913</v>
      </c>
      <c r="H45" s="37">
        <f t="shared" si="13"/>
        <v>16292.639138240575</v>
      </c>
    </row>
    <row r="46" spans="2:10" ht="18.600000000000001" thickBot="1" x14ac:dyDescent="0.4">
      <c r="B46" s="70" t="s">
        <v>41</v>
      </c>
      <c r="C46" s="38">
        <f t="shared" ref="C46:H46" si="14">C45*C4</f>
        <v>674799.99999999988</v>
      </c>
      <c r="D46" s="38">
        <f t="shared" si="14"/>
        <v>1912499.9999999998</v>
      </c>
      <c r="E46" s="38">
        <f t="shared" si="14"/>
        <v>2612499.9999999995</v>
      </c>
      <c r="F46" s="38">
        <f t="shared" si="14"/>
        <v>3374999.9999999995</v>
      </c>
      <c r="G46" s="38">
        <f t="shared" si="14"/>
        <v>4331250</v>
      </c>
      <c r="H46" s="39">
        <f t="shared" si="14"/>
        <v>4537500</v>
      </c>
      <c r="I46" s="71" t="s">
        <v>42</v>
      </c>
      <c r="J46" s="71" t="s">
        <v>43</v>
      </c>
    </row>
    <row r="47" spans="2:10" ht="18.600000000000001" thickBot="1" x14ac:dyDescent="0.4">
      <c r="B47" s="72" t="s">
        <v>44</v>
      </c>
      <c r="C47" s="73">
        <f>C46-C36</f>
        <v>-1429375</v>
      </c>
      <c r="D47" s="73">
        <f t="shared" ref="D47:H47" si="15">D46-D36</f>
        <v>-348000.00000000023</v>
      </c>
      <c r="E47" s="73">
        <f t="shared" si="15"/>
        <v>81624.999999999534</v>
      </c>
      <c r="F47" s="73">
        <f t="shared" si="15"/>
        <v>543624.99999999953</v>
      </c>
      <c r="G47" s="73">
        <f t="shared" si="15"/>
        <v>1269875</v>
      </c>
      <c r="H47" s="73">
        <f t="shared" si="15"/>
        <v>1208625</v>
      </c>
      <c r="I47" s="74">
        <f>SUM(D47:H47)</f>
        <v>2755749.9999999991</v>
      </c>
      <c r="J47" s="75">
        <f>SUM(C47:H47)</f>
        <v>1326374.9999999988</v>
      </c>
    </row>
    <row r="48" spans="2:10" ht="18.600000000000001" thickBot="1" x14ac:dyDescent="0.4">
      <c r="B48" s="76" t="s">
        <v>45</v>
      </c>
      <c r="C48" s="77">
        <f t="shared" ref="C48:H48" si="16">C46-(C37+C41)</f>
        <v>-1269375</v>
      </c>
      <c r="D48" s="77">
        <f t="shared" si="16"/>
        <v>-8000.0000000002328</v>
      </c>
      <c r="E48" s="77">
        <f t="shared" si="16"/>
        <v>456624.99999999953</v>
      </c>
      <c r="F48" s="77">
        <f t="shared" si="16"/>
        <v>966124.99999999953</v>
      </c>
      <c r="G48" s="77">
        <f t="shared" si="16"/>
        <v>1622375</v>
      </c>
      <c r="H48" s="77">
        <f t="shared" si="16"/>
        <v>1528625</v>
      </c>
      <c r="I48" s="74">
        <f>SUM(D48:H48)</f>
        <v>4565749.9999999991</v>
      </c>
      <c r="J48" s="75">
        <f>SUM(C48:H48)</f>
        <v>3296374.9999999991</v>
      </c>
    </row>
    <row r="50" spans="4:4" x14ac:dyDescent="0.35">
      <c r="D50" s="78"/>
    </row>
    <row r="51" spans="4:4" x14ac:dyDescent="0.35">
      <c r="D51" s="79"/>
    </row>
  </sheetData>
  <pageMargins left="0.25" right="0.25" top="0.75" bottom="0.75" header="0.3" footer="0.3"/>
  <pageSetup paperSize="8" scale="74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9FFB-BDFE-432E-80B2-D0CC03D98662}">
  <dimension ref="B1:R14"/>
  <sheetViews>
    <sheetView topLeftCell="B1" zoomScaleNormal="100" workbookViewId="0">
      <selection activeCell="D12" sqref="D12"/>
    </sheetView>
  </sheetViews>
  <sheetFormatPr defaultRowHeight="14.4" x14ac:dyDescent="0.3"/>
  <cols>
    <col min="2" max="2" width="7.77734375" bestFit="1" customWidth="1"/>
    <col min="3" max="3" width="8.77734375" bestFit="1" customWidth="1"/>
    <col min="4" max="4" width="16.109375" bestFit="1" customWidth="1"/>
    <col min="5" max="5" width="12.33203125" bestFit="1" customWidth="1"/>
    <col min="6" max="6" width="8.44140625" bestFit="1" customWidth="1"/>
    <col min="7" max="7" width="11.5546875" bestFit="1" customWidth="1"/>
    <col min="8" max="8" width="9.77734375" bestFit="1" customWidth="1"/>
    <col min="9" max="9" width="8.109375" bestFit="1" customWidth="1"/>
    <col min="10" max="10" width="7.109375" bestFit="1" customWidth="1"/>
    <col min="12" max="12" width="7.77734375" bestFit="1" customWidth="1"/>
    <col min="13" max="13" width="8.77734375" bestFit="1" customWidth="1"/>
    <col min="14" max="14" width="8.44140625" bestFit="1" customWidth="1"/>
    <col min="15" max="15" width="14.6640625" bestFit="1" customWidth="1"/>
    <col min="16" max="16" width="9.5546875" bestFit="1" customWidth="1"/>
    <col min="17" max="17" width="6.77734375" bestFit="1" customWidth="1"/>
    <col min="18" max="18" width="46.33203125" style="121" customWidth="1"/>
  </cols>
  <sheetData>
    <row r="1" spans="2:18" ht="15" thickBot="1" x14ac:dyDescent="0.35"/>
    <row r="2" spans="2:18" ht="15" thickBot="1" x14ac:dyDescent="0.35">
      <c r="B2" s="122" t="s">
        <v>46</v>
      </c>
      <c r="C2" s="123" t="s">
        <v>63</v>
      </c>
      <c r="D2" s="124" t="s">
        <v>64</v>
      </c>
      <c r="E2" s="125" t="s">
        <v>65</v>
      </c>
      <c r="F2" s="126" t="s">
        <v>47</v>
      </c>
      <c r="G2" s="127" t="s">
        <v>66</v>
      </c>
      <c r="H2" s="127" t="s">
        <v>67</v>
      </c>
      <c r="I2" s="127" t="s">
        <v>68</v>
      </c>
      <c r="J2" s="128" t="s">
        <v>69</v>
      </c>
      <c r="L2" s="129" t="s">
        <v>70</v>
      </c>
      <c r="M2" s="129" t="s">
        <v>49</v>
      </c>
      <c r="N2" s="129" t="s">
        <v>71</v>
      </c>
      <c r="O2" s="129" t="s">
        <v>72</v>
      </c>
      <c r="P2" s="129" t="s">
        <v>49</v>
      </c>
    </row>
    <row r="3" spans="2:18" x14ac:dyDescent="0.3">
      <c r="B3" s="130" t="s">
        <v>59</v>
      </c>
      <c r="C3" s="131">
        <v>142.94999999999999</v>
      </c>
      <c r="D3" s="132">
        <f>'[1]2025 Actual Ha'!C29</f>
        <v>95.59</v>
      </c>
      <c r="E3" s="133">
        <f>'[1]2025 Actual Ha'!D29</f>
        <v>84.4</v>
      </c>
      <c r="F3" s="134">
        <f>'[1]2025 Actual Ha'!E29</f>
        <v>84.4</v>
      </c>
      <c r="G3" s="135">
        <f>'[1]2025 Actual Ha'!D30</f>
        <v>0.88293754576838579</v>
      </c>
      <c r="H3" s="135">
        <f>'[1]2025 Actual Ha'!E30</f>
        <v>0.88293754576838579</v>
      </c>
      <c r="I3" s="136">
        <v>107.48</v>
      </c>
      <c r="J3" s="137">
        <f>I3/E3</f>
        <v>1.2734597156398104</v>
      </c>
      <c r="L3" s="180">
        <v>17549</v>
      </c>
      <c r="M3" s="180">
        <f>L3/D3</f>
        <v>183.58614917878438</v>
      </c>
      <c r="N3" s="180">
        <v>10</v>
      </c>
      <c r="O3" s="179">
        <v>5</v>
      </c>
      <c r="P3" s="178">
        <f>10000/N3/O3</f>
        <v>200</v>
      </c>
    </row>
    <row r="4" spans="2:18" x14ac:dyDescent="0.3">
      <c r="B4" s="92" t="s">
        <v>60</v>
      </c>
      <c r="C4" s="138">
        <v>137.66999999999999</v>
      </c>
      <c r="D4" s="139">
        <f>'[1]2025 Actual Ha'!I28</f>
        <v>110.11000000000001</v>
      </c>
      <c r="E4" s="140">
        <f>'[1]2025 Actual Ha'!J28</f>
        <v>87.4</v>
      </c>
      <c r="F4" s="141">
        <f>'[1]2025 Actual Ha'!K28</f>
        <v>100.44</v>
      </c>
      <c r="G4" s="142">
        <f>'[1]2025 Actual Ha'!J29</f>
        <v>0.79375170284261187</v>
      </c>
      <c r="H4" s="142">
        <f>'[1]2025 Actual Ha'!K29</f>
        <v>0.91217873036054842</v>
      </c>
      <c r="I4" s="93">
        <v>10.96</v>
      </c>
      <c r="J4" s="143">
        <f>I4/E4</f>
        <v>0.12540045766590388</v>
      </c>
      <c r="L4" s="180">
        <v>20346</v>
      </c>
      <c r="M4" s="180">
        <f>L4/D4</f>
        <v>184.77885750613021</v>
      </c>
      <c r="N4" s="180">
        <v>10</v>
      </c>
      <c r="O4" s="179">
        <v>5</v>
      </c>
      <c r="P4" s="178">
        <f>10000/N4/O4</f>
        <v>200</v>
      </c>
    </row>
    <row r="5" spans="2:18" x14ac:dyDescent="0.3">
      <c r="B5" s="92" t="s">
        <v>61</v>
      </c>
      <c r="C5" s="138">
        <v>115.95</v>
      </c>
      <c r="D5" s="139">
        <f>'[1]2025 Actual Ha'!O25</f>
        <v>83.35</v>
      </c>
      <c r="E5" s="140">
        <f>'[1]2025 Actual Ha'!P25</f>
        <v>45.900000000000006</v>
      </c>
      <c r="F5" s="141">
        <f>'[1]2025 Actual Ha'!Q25</f>
        <v>73.48</v>
      </c>
      <c r="G5" s="142">
        <f>'[1]2025 Actual Ha'!P26</f>
        <v>0.55068986202759462</v>
      </c>
      <c r="H5" s="142">
        <f>'[1]2025 Actual Ha'!Q26</f>
        <v>0.88158368326334746</v>
      </c>
      <c r="I5" s="93">
        <v>25.95</v>
      </c>
      <c r="J5" s="143">
        <f>I5/E5</f>
        <v>0.56535947712418289</v>
      </c>
      <c r="L5" s="180">
        <v>33271</v>
      </c>
      <c r="M5" s="180">
        <f>L5/D5</f>
        <v>399.17216556688663</v>
      </c>
      <c r="N5" s="180">
        <v>7</v>
      </c>
      <c r="O5" s="179">
        <v>3.5</v>
      </c>
      <c r="P5" s="178">
        <f>10000/N5/O5</f>
        <v>408.16326530612247</v>
      </c>
    </row>
    <row r="6" spans="2:18" ht="15" thickBot="1" x14ac:dyDescent="0.35">
      <c r="B6" s="101" t="s">
        <v>62</v>
      </c>
      <c r="C6" s="144">
        <v>141.30000000000001</v>
      </c>
      <c r="D6" s="145">
        <f>'[1]2025 Actual Ha'!U32</f>
        <v>97.3</v>
      </c>
      <c r="E6" s="146">
        <f>'[1]2025 Actual Ha'!V32</f>
        <v>26.53</v>
      </c>
      <c r="F6" s="147">
        <f>'[1]2025 Actual Ha'!W32</f>
        <v>35.376899999999999</v>
      </c>
      <c r="G6" s="148">
        <f>'[1]2025 Actual Ha'!V33</f>
        <v>0.27266187050359714</v>
      </c>
      <c r="H6" s="148">
        <f>'[1]2025 Actual Ha'!W33</f>
        <v>0.3635858170606372</v>
      </c>
      <c r="I6" s="149">
        <v>24.34</v>
      </c>
      <c r="J6" s="150">
        <f>I6/E6</f>
        <v>0.91745194119864304</v>
      </c>
      <c r="L6" s="180">
        <v>38130</v>
      </c>
      <c r="M6" s="180">
        <f>L6/D6</f>
        <v>391.8807810894142</v>
      </c>
      <c r="N6" s="180">
        <v>7</v>
      </c>
      <c r="O6" s="179">
        <v>3.5</v>
      </c>
      <c r="P6" s="178">
        <f>10000/N6/O6</f>
        <v>408.16326530612247</v>
      </c>
    </row>
    <row r="7" spans="2:18" ht="15" thickBot="1" x14ac:dyDescent="0.35">
      <c r="B7" s="107" t="s">
        <v>15</v>
      </c>
      <c r="C7" s="151">
        <f>SUM(C3:C6)</f>
        <v>537.87</v>
      </c>
      <c r="D7" s="152">
        <f>SUM(D3:D6)</f>
        <v>386.35</v>
      </c>
      <c r="E7" s="153">
        <f>SUM(E3:E6)</f>
        <v>244.23000000000002</v>
      </c>
      <c r="F7" s="154">
        <f>SUM(F3:F6)</f>
        <v>293.69689999999997</v>
      </c>
      <c r="G7" s="155"/>
      <c r="H7" s="155"/>
      <c r="I7" s="156">
        <f>SUM(I3:I6)</f>
        <v>168.73</v>
      </c>
      <c r="J7" s="157">
        <f>I7/E7</f>
        <v>0.69086516807926945</v>
      </c>
    </row>
    <row r="8" spans="2:18" ht="15" thickBot="1" x14ac:dyDescent="0.35"/>
    <row r="9" spans="2:18" ht="15" thickBot="1" x14ac:dyDescent="0.35">
      <c r="L9" s="158" t="s">
        <v>46</v>
      </c>
      <c r="M9" s="159" t="s">
        <v>63</v>
      </c>
      <c r="N9" s="159" t="s">
        <v>47</v>
      </c>
      <c r="O9" s="159" t="s">
        <v>73</v>
      </c>
      <c r="P9" s="159" t="s">
        <v>74</v>
      </c>
      <c r="Q9" s="159" t="s">
        <v>75</v>
      </c>
      <c r="R9" s="160" t="s">
        <v>76</v>
      </c>
    </row>
    <row r="10" spans="2:18" x14ac:dyDescent="0.3">
      <c r="L10" s="161" t="s">
        <v>59</v>
      </c>
      <c r="M10" s="162">
        <f>D3</f>
        <v>95.59</v>
      </c>
      <c r="N10" s="162">
        <f>F3</f>
        <v>84.4</v>
      </c>
      <c r="O10" s="162">
        <v>83.2</v>
      </c>
      <c r="P10" s="162">
        <f>F3-O10</f>
        <v>1.2000000000000028</v>
      </c>
      <c r="Q10" s="163">
        <f>P10/O10</f>
        <v>1.4423076923076957E-2</v>
      </c>
      <c r="R10" s="164" t="s">
        <v>77</v>
      </c>
    </row>
    <row r="11" spans="2:18" ht="43.2" x14ac:dyDescent="0.3">
      <c r="L11" s="165" t="s">
        <v>60</v>
      </c>
      <c r="M11" s="166">
        <f>D4</f>
        <v>110.11000000000001</v>
      </c>
      <c r="N11" s="166">
        <f>F4</f>
        <v>100.44</v>
      </c>
      <c r="O11" s="166">
        <v>103.6</v>
      </c>
      <c r="P11" s="166">
        <f>F4-O11</f>
        <v>-3.1599999999999966</v>
      </c>
      <c r="Q11" s="167">
        <f>P11/O11</f>
        <v>-3.0501930501930469E-2</v>
      </c>
      <c r="R11" s="164" t="s">
        <v>78</v>
      </c>
    </row>
    <row r="12" spans="2:18" x14ac:dyDescent="0.3">
      <c r="J12" s="91"/>
      <c r="L12" s="165" t="s">
        <v>61</v>
      </c>
      <c r="M12" s="166">
        <f>D5</f>
        <v>83.35</v>
      </c>
      <c r="N12" s="166">
        <f>F5</f>
        <v>73.48</v>
      </c>
      <c r="O12" s="166">
        <v>75.400000000000006</v>
      </c>
      <c r="P12" s="166">
        <f>F5-O12</f>
        <v>-1.9200000000000017</v>
      </c>
      <c r="Q12" s="167">
        <f>P12/O12</f>
        <v>-2.5464190981432381E-2</v>
      </c>
      <c r="R12" s="164" t="s">
        <v>77</v>
      </c>
    </row>
    <row r="13" spans="2:18" ht="72.599999999999994" thickBot="1" x14ac:dyDescent="0.35">
      <c r="L13" s="168" t="s">
        <v>62</v>
      </c>
      <c r="M13" s="169">
        <f>D6</f>
        <v>97.3</v>
      </c>
      <c r="N13" s="169">
        <f>F6</f>
        <v>35.376899999999999</v>
      </c>
      <c r="O13" s="169">
        <v>56.6</v>
      </c>
      <c r="P13" s="170">
        <f>F6-O13</f>
        <v>-21.223100000000002</v>
      </c>
      <c r="Q13" s="171">
        <f>P13/O13</f>
        <v>-0.37496643109540639</v>
      </c>
      <c r="R13" s="172" t="s">
        <v>79</v>
      </c>
    </row>
    <row r="14" spans="2:18" ht="29.4" thickBot="1" x14ac:dyDescent="0.35">
      <c r="L14" s="173" t="s">
        <v>15</v>
      </c>
      <c r="M14" s="174">
        <f>D7</f>
        <v>386.35</v>
      </c>
      <c r="N14" s="175">
        <f>F7</f>
        <v>293.69689999999997</v>
      </c>
      <c r="O14" s="175">
        <f>SUM(O10:O13)</f>
        <v>318.80000000000007</v>
      </c>
      <c r="P14" s="175">
        <f>F7-O14</f>
        <v>-25.103100000000097</v>
      </c>
      <c r="Q14" s="176">
        <f>P14/O14</f>
        <v>-7.8742471769134542E-2</v>
      </c>
      <c r="R14" s="17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 Prodn Scenarios</vt:lpstr>
      <vt:lpstr>Production Forecast</vt:lpstr>
      <vt:lpstr>5yr Budget Summary_425t</vt:lpstr>
      <vt:lpstr>Sprayed Ha vs proposed 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Commens</dc:creator>
  <cp:lastModifiedBy>Robbie Commens</cp:lastModifiedBy>
  <dcterms:created xsi:type="dcterms:W3CDTF">2025-11-13T20:38:53Z</dcterms:created>
  <dcterms:modified xsi:type="dcterms:W3CDTF">2025-11-13T21:38:31Z</dcterms:modified>
</cp:coreProperties>
</file>