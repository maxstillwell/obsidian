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Max" sheetId="1" r:id="rId3"/>
    <sheet name="Gary" sheetId="2" r:id="rId4"/>
    <sheet name="A" sheetId="3" r:id="rId5"/>
  </sheets>
  <calcPr calcId="181029" concurrentCalc="false"/>
</workbook>
</file>

<file path=xl/sharedStrings.xml><?xml version="1.0" encoding="utf-8"?>
<sst xmlns="http://schemas.openxmlformats.org/spreadsheetml/2006/main" count="50" uniqueCount="50">
  <si>
    <t/>
  </si>
  <si>
    <t>UNIT SCHEDULE</t>
  </si>
  <si>
    <t>DATE: 13/07/2025</t>
  </si>
  <si>
    <t>DRAWING VERSION: 20250614</t>
  </si>
  <si>
    <t>UNIT No.</t>
  </si>
  <si>
    <t>UNIT TYPE</t>
  </si>
  <si>
    <t>GF</t>
  </si>
  <si>
    <t>GARAGE</t>
  </si>
  <si>
    <t>GFA</t>
  </si>
  <si>
    <t>1F</t>
  </si>
  <si>
    <t>1F BALCONY</t>
  </si>
  <si>
    <t>2F</t>
  </si>
  <si>
    <t>2F BALCONY</t>
  </si>
  <si>
    <t>BLD AREA</t>
  </si>
  <si>
    <t>LAND AREA</t>
  </si>
  <si>
    <t>Per M2</t>
  </si>
  <si>
    <t>Buidling Price</t>
  </si>
  <si>
    <t>Land Price</t>
  </si>
  <si>
    <t>TOTAL</t>
  </si>
  <si>
    <t>A-1C</t>
  </si>
  <si>
    <t>A-1a</t>
  </si>
  <si>
    <t>A-1b</t>
  </si>
  <si>
    <t>A-1d</t>
  </si>
  <si>
    <t>D-5</t>
  </si>
  <si>
    <t>E</t>
  </si>
  <si>
    <t>A-2</t>
  </si>
  <si>
    <t>A-3</t>
  </si>
  <si>
    <t>F</t>
  </si>
  <si>
    <t>G</t>
  </si>
  <si>
    <t>A-6</t>
  </si>
  <si>
    <t>A-5</t>
  </si>
  <si>
    <t>A-4</t>
  </si>
  <si>
    <t>B-1a</t>
  </si>
  <si>
    <t>B-1b</t>
  </si>
  <si>
    <t>B-2</t>
  </si>
  <si>
    <t>H</t>
  </si>
  <si>
    <t>D</t>
  </si>
  <si>
    <t>D-2</t>
  </si>
  <si>
    <t>C-2a</t>
  </si>
  <si>
    <t>C-1</t>
  </si>
  <si>
    <t>C-2b</t>
  </si>
  <si>
    <t>C-4</t>
  </si>
  <si>
    <t>C-3</t>
  </si>
  <si>
    <t>D-4</t>
  </si>
  <si>
    <t>Coverage</t>
  </si>
  <si>
    <t>DATE: 01/10/2025</t>
  </si>
  <si>
    <t>DRAWING VERSION: 20250614 王老师最终版</t>
  </si>
  <si>
    <t>Land X2000</t>
  </si>
  <si>
    <t>建筑容积率</t>
  </si>
  <si>
    <r>
      <rPr>
        <rFont val="Calibri"/>
        <b val="true"/>
        <color theme="1"/>
        <sz val="12"/>
        <scheme val="minor"/>
      </rPr>
      <t>PROJECT ADDRESS:</t>
    </r>
    <r>
      <rPr>
        <rFont val="Calibri"/>
        <family val="2"/>
        <color theme="1"/>
        <sz val="11"/>
        <scheme val="minor"/>
      </rPr>
      <t xml:space="preserve">  289-291 MORACK ROAD VERMONT SOUTH </t>
    </r>
  </si>
</sst>
</file>

<file path=xl/styles.xml><?xml version="1.0" encoding="utf-8"?>
<styleSheet xmlns="http://schemas.openxmlformats.org/spreadsheetml/2006/main">
  <numFmts count="2">
    <numFmt numFmtId="300" formatCode="\$#,##0_);[Red]\(\$#,##0\)"/>
    <numFmt numFmtId="301" formatCode="General"/>
  </numFmts>
  <fonts count="1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b val="true"/>
      <color theme="1"/>
      <sz val="12"/>
      <scheme val="minor"/>
    </font>
    <font>
      <name val="Calibri"/>
      <family val="2"/>
      <scheme val="minor"/>
    </font>
    <font>
      <name val="Calibri"/>
      <b val="true"/>
      <color theme="2"/>
      <sz val="12"/>
      <scheme val="minor"/>
    </font>
    <font>
      <name val="Calibri"/>
      <family val="2"/>
      <b val="true"/>
      <color theme="2"/>
      <sz val="12"/>
      <scheme val="minor"/>
    </font>
    <font>
      <name val="Calibri"/>
      <b val="true"/>
      <color rgb="FFE7E6E6"/>
      <sz val="12"/>
    </font>
    <font>
      <name val="Calibri"/>
      <family val="2"/>
      <b val="true"/>
      <color rgb="FFE7E6E6"/>
      <sz val="12"/>
      <scheme val="minor"/>
    </font>
    <font>
      <name val="Calibri"/>
      <family val="2"/>
      <b val="true"/>
      <color rgb="FFE7E6E6"/>
      <sz val="12"/>
    </font>
    <font>
      <name val="Calibri"/>
      <family val="2"/>
      <b val="true"/>
      <color theme="1"/>
      <sz val="12"/>
      <scheme val="minor"/>
    </font>
    <font>
      <name val="Calibri"/>
      <family val="2"/>
      <color theme="1"/>
      <sz val="11"/>
    </font>
    <font>
      <name val="Calibri"/>
      <color theme="1"/>
      <sz val="11"/>
    </font>
    <font>
      <b val="true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theme="1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EBDB88"/>
        <bgColor indexed="64"/>
      </patternFill>
    </fill>
    <fill>
      <patternFill patternType="solid">
        <fgColor theme="0" tint="-0.149998"/>
        <bgColor indexed="64"/>
      </patternFill>
    </fill>
    <fill>
      <patternFill patternType="none"/>
    </fill>
    <fill>
      <patternFill patternType="solid">
        <fgColor theme="9" tint="0.799982"/>
        <bgColor indexed="64"/>
      </patternFill>
    </fill>
    <fill>
      <patternFill patternType="solid">
        <fgColor theme="7" tint="0.79998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</border>
    <border>
      <bottom style="medium">
        <color rgb="FF000000"/>
      </bottom>
      <diagonal/>
    </border>
    <border>
      <left style="thin">
        <color theme="2"/>
      </left>
      <right style="thin">
        <color theme="2"/>
      </right>
      <bottom style="medium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rgb="FF000000"/>
      </bottom>
    </border>
  </borders>
  <cellStyleXfs>
    <xf numFmtId="0" fontId="4" fillId="2" borderId="1" xfId="0"/>
  </cellStyleXfs>
  <cellXfs count="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horizontal="left" vertical="center"/>
    </xf>
    <xf numFmtId="0" fontId="4" fillId="2" borderId="1" xfId="0">
      <alignment horizontal="left" vertical="center"/>
    </xf>
    <xf numFmtId="0" fontId="5" fillId="2" borderId="1" xfId="0">
      <alignment horizontal="left" vertical="center"/>
    </xf>
    <xf numFmtId="0" fontId="6" fillId="2" borderId="1" xfId="0">
      <alignment horizontal="left" vertical="center"/>
    </xf>
    <xf numFmtId="0" fontId="4" fillId="2" borderId="1" xfId="0">
      <alignment horizontal="left"/>
    </xf>
    <xf numFmtId="0" fontId="7" fillId="3" borderId="2" xfId="0">
      <alignment horizontal="center" vertical="center" wrapText="true"/>
    </xf>
    <xf numFmtId="0" fontId="8" fillId="3" borderId="2" xfId="0">
      <alignment horizontal="center" vertical="center" wrapText="true"/>
    </xf>
    <xf numFmtId="0" fontId="9" fillId="3" borderId="3" xfId="0">
      <alignment horizontal="center" vertical="center" wrapText="true"/>
    </xf>
    <xf numFmtId="0" fontId="10" fillId="3" borderId="2" xfId="0">
      <alignment horizontal="center" vertical="center" wrapText="true"/>
    </xf>
    <xf numFmtId="0" fontId="11" fillId="3" borderId="3" xfId="0">
      <alignment horizontal="center" vertical="center" wrapText="true"/>
    </xf>
    <xf numFmtId="0" fontId="12" fillId="2" borderId="1" xfId="0">
      <alignment horizontal="center"/>
    </xf>
    <xf numFmtId="0" fontId="4" fillId="2" borderId="1" xfId="0">
      <alignment horizontal="center"/>
    </xf>
    <xf numFmtId="0" fontId="4" fillId="4" borderId="2" xfId="0">
      <alignment horizontal="center"/>
    </xf>
    <xf numFmtId="0" fontId="13" fillId="4" borderId="3" xfId="0">
      <alignment horizontal="center"/>
    </xf>
    <xf numFmtId="300" fontId="14" fillId="4" borderId="3" xfId="0">
      <alignment horizontal="center"/>
    </xf>
    <xf numFmtId="0" fontId="4" fillId="5" borderId="2" xfId="0">
      <alignment horizontal="center"/>
    </xf>
    <xf numFmtId="0" fontId="13" fillId="5" borderId="3" xfId="0">
      <alignment horizontal="center"/>
    </xf>
    <xf numFmtId="300" fontId="14" fillId="5" borderId="3" xfId="0">
      <alignment horizontal="center"/>
    </xf>
    <xf numFmtId="0" fontId="4" fillId="6" borderId="2" xfId="0">
      <alignment horizontal="center"/>
    </xf>
    <xf numFmtId="0" fontId="13" fillId="6" borderId="3" xfId="0">
      <alignment horizontal="center"/>
    </xf>
    <xf numFmtId="300" fontId="14" fillId="6" borderId="3" xfId="0">
      <alignment horizontal="center"/>
    </xf>
    <xf numFmtId="0" fontId="12" fillId="7" borderId="1" xfId="0">
      <alignment horizontal="center"/>
    </xf>
    <xf numFmtId="0" fontId="4" fillId="7" borderId="1" xfId="0">
      <alignment horizontal="center"/>
    </xf>
    <xf numFmtId="0" fontId="4" fillId="8" borderId="2" xfId="0">
      <alignment horizontal="center"/>
    </xf>
    <xf numFmtId="0" fontId="13" fillId="8" borderId="3" xfId="0">
      <alignment horizontal="center"/>
    </xf>
    <xf numFmtId="300" fontId="14" fillId="8" borderId="3" xfId="0">
      <alignment horizontal="center"/>
    </xf>
    <xf numFmtId="0" fontId="4" fillId="9" borderId="2" xfId="0">
      <alignment horizontal="center"/>
    </xf>
    <xf numFmtId="0" fontId="13" fillId="9" borderId="3" xfId="0">
      <alignment horizontal="center"/>
    </xf>
    <xf numFmtId="300" fontId="14" fillId="9" borderId="3" xfId="0">
      <alignment horizontal="center"/>
    </xf>
    <xf numFmtId="0" fontId="4" fillId="2" borderId="2" xfId="0">
      <alignment horizontal="center" vertical="center"/>
    </xf>
    <xf numFmtId="0" fontId="12" fillId="2" borderId="4" xfId="0">
      <alignment horizontal="center"/>
    </xf>
    <xf numFmtId="0" fontId="4" fillId="2" borderId="5" xfId="0">
      <alignment horizontal="center" vertical="center"/>
    </xf>
    <xf numFmtId="0" fontId="4" fillId="5" borderId="6" xfId="0">
      <alignment horizontal="center"/>
    </xf>
    <xf numFmtId="0" fontId="13" fillId="5" borderId="7" xfId="0">
      <alignment horizontal="center"/>
    </xf>
    <xf numFmtId="300" fontId="14" fillId="5" borderId="7" xfId="0">
      <alignment horizontal="center"/>
    </xf>
    <xf fontId="15" fillId="0" borderId="0" xfId="0">
      <alignment horizontal="center"/>
    </xf>
    <xf numFmtId="300" fontId="15" fillId="0" borderId="0" xfId="0">
      <alignment horizontal="center"/>
    </xf>
    <xf fontId="0" fillId="0" borderId="0" xfId="0">
      <alignment horizontal="center"/>
    </xf>
    <xf numFmtId="300" fontId="0" fillId="0" borderId="0" xfId="0">
      <alignment horizontal="center"/>
    </xf>
    <xf fontId="15" fillId="0" borderId="0" xfId="0">
      <alignment horizontal="right"/>
    </xf>
    <xf numFmtId="301" fontId="4" fillId="2" borderId="1" xfId="0">
      <alignment vertical="center"/>
    </xf>
    <xf numFmtId="301" fontId="4" fillId="2" borderId="1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Max"/>
  <dimension ref="K57"/>
  <sheetViews>
    <sheetView showGridLines="true" tabSelected="false" workbookViewId="0">
      <pane xSplit="1" ySplit="7" topLeftCell="B8" activePane="bottomRight" state="frozen"/>
    </sheetView>
  </sheetViews>
  <sheetFormatPr baseColWidth="8" defaultRowHeight="14.4"/>
  <cols>
    <col min="1" max="1" width="16.332" style="45" customWidth="true"/>
    <col min="2" max="11" width="15.1094" customWidth="true"/>
    <col min="12" max="13" width="14.2227" customWidth="true"/>
    <col min="14" max="14" width="11.7695" customWidth="true"/>
    <col min="15" max="15" width="11.043" customWidth="true"/>
  </cols>
  <sheetData>
    <row r="1" spans="1:11" ht="15.6">
      <c r="A1" s="4" t="s">
        <v>49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</row>
    <row r="2" spans="1:11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</row>
    <row r="3" spans="1:1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</row>
    <row r="4" spans="1:11" ht="15.6">
      <c r="A4" s="6" t="s">
        <v>1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</row>
    <row r="5" spans="1:11">
      <c r="A5" s="7" t="s">
        <v>2</v>
      </c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</row>
    <row r="6" spans="1:1">
      <c r="A6" s="8" t="s">
        <v>3</v>
      </c>
    </row>
    <row r="7" spans="1:15" s="44" customFormat="true" ht="29.4" customHeight="true">
      <c r="A7" s="9" t="s">
        <v>4</v>
      </c>
      <c r="B7" s="9" t="s">
        <v>5</v>
      </c>
      <c r="C7" s="10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10" t="s">
        <v>12</v>
      </c>
      <c r="J7" s="10" t="s">
        <v>13</v>
      </c>
      <c r="K7" s="10" t="s">
        <v>14</v>
      </c>
      <c r="L7" s="11" t="s">
        <v>15</v>
      </c>
      <c r="M7" s="12" t="s">
        <v>16</v>
      </c>
      <c r="N7" s="12" t="s">
        <v>17</v>
      </c>
      <c r="O7" s="13" t="s">
        <v>18</v>
      </c>
    </row>
    <row r="8" spans="1:15" ht="15.6">
      <c r="A8" s="14">
        <v>1</v>
      </c>
      <c r="B8" s="15" t="s">
        <v>19</v>
      </c>
      <c r="C8" s="16">
        <f>=E8-D8</f>
        <v>39</v>
      </c>
      <c r="D8" s="16">
        <v>43</v>
      </c>
      <c r="E8" s="16">
        <v>82</v>
      </c>
      <c r="F8" s="16">
        <v>71</v>
      </c>
      <c r="G8" s="16">
        <v>11</v>
      </c>
      <c r="H8" s="16">
        <v>82</v>
      </c>
      <c r="I8" s="16">
        <v>6</v>
      </c>
      <c r="J8" s="17">
        <f>=E8+F8+G8+H8+I8</f>
        <v>252</v>
      </c>
      <c r="K8" s="17">
        <v>112</v>
      </c>
      <c r="L8" s="18" t="s"/>
      <c r="M8" s="18" t="s"/>
      <c r="N8" s="18" t="s"/>
      <c r="O8" s="18" t="s"/>
    </row>
    <row r="9" spans="1:15" ht="15.6">
      <c r="A9" s="14">
        <v>2</v>
      </c>
      <c r="B9" s="15" t="s">
        <v>20</v>
      </c>
      <c r="C9" s="16">
        <f>=E9-D9</f>
        <v>39</v>
      </c>
      <c r="D9" s="16">
        <v>43</v>
      </c>
      <c r="E9" s="16">
        <v>82</v>
      </c>
      <c r="F9" s="16">
        <v>71</v>
      </c>
      <c r="G9" s="16">
        <v>11</v>
      </c>
      <c r="H9" s="16">
        <v>76</v>
      </c>
      <c r="I9" s="16">
        <v>12</v>
      </c>
      <c r="J9" s="17">
        <f>=E9+F9+G9+H9+I9</f>
        <v>252</v>
      </c>
      <c r="K9" s="17">
        <v>114</v>
      </c>
      <c r="L9" s="18" t="s"/>
      <c r="M9" s="18" t="s"/>
      <c r="N9" s="18" t="s"/>
      <c r="O9" s="18" t="s"/>
    </row>
    <row r="10" spans="1:15" ht="15.6">
      <c r="A10" s="14">
        <v>3</v>
      </c>
      <c r="B10" s="15" t="s">
        <v>21</v>
      </c>
      <c r="C10" s="16">
        <f>=E10-D10</f>
        <v>39</v>
      </c>
      <c r="D10" s="16">
        <v>43</v>
      </c>
      <c r="E10" s="16">
        <v>82</v>
      </c>
      <c r="F10" s="16">
        <v>71</v>
      </c>
      <c r="G10" s="16">
        <v>11</v>
      </c>
      <c r="H10" s="16">
        <v>78</v>
      </c>
      <c r="I10" s="16">
        <v>5</v>
      </c>
      <c r="J10" s="17">
        <f>=E10+F10+G10+H10+I10</f>
        <v>247</v>
      </c>
      <c r="K10" s="17">
        <v>114</v>
      </c>
      <c r="L10" s="18" t="s"/>
      <c r="M10" s="18" t="s"/>
      <c r="N10" s="18" t="s"/>
      <c r="O10" s="18" t="s"/>
    </row>
    <row r="11" spans="1:15" ht="15.6">
      <c r="A11" s="14">
        <v>4</v>
      </c>
      <c r="B11" s="15" t="s">
        <v>20</v>
      </c>
      <c r="C11" s="16">
        <f>=E11-D11</f>
        <v>39</v>
      </c>
      <c r="D11" s="16">
        <v>43</v>
      </c>
      <c r="E11" s="16">
        <v>82</v>
      </c>
      <c r="F11" s="16">
        <v>71</v>
      </c>
      <c r="G11" s="16">
        <v>11</v>
      </c>
      <c r="H11" s="16">
        <v>76</v>
      </c>
      <c r="I11" s="16">
        <v>12</v>
      </c>
      <c r="J11" s="17">
        <f>=E11+F11+G11+H11+I11</f>
        <v>252</v>
      </c>
      <c r="K11" s="17">
        <v>114</v>
      </c>
      <c r="L11" s="18" t="s"/>
      <c r="M11" s="18" t="s"/>
      <c r="N11" s="18" t="s"/>
      <c r="O11" s="18" t="s"/>
    </row>
    <row r="12" spans="1:15" ht="15.6">
      <c r="A12" s="14">
        <v>5</v>
      </c>
      <c r="B12" s="15" t="s">
        <v>21</v>
      </c>
      <c r="C12" s="16">
        <f>=E12-D12</f>
        <v>39</v>
      </c>
      <c r="D12" s="16">
        <v>43</v>
      </c>
      <c r="E12" s="16">
        <v>82</v>
      </c>
      <c r="F12" s="16">
        <v>71</v>
      </c>
      <c r="G12" s="16">
        <v>11</v>
      </c>
      <c r="H12" s="16">
        <v>78</v>
      </c>
      <c r="I12" s="16">
        <v>5</v>
      </c>
      <c r="J12" s="17">
        <f>=E12+F12+G12+H12+I12</f>
        <v>247</v>
      </c>
      <c r="K12" s="17">
        <v>114</v>
      </c>
      <c r="L12" s="18" t="s"/>
      <c r="M12" s="18" t="s"/>
      <c r="N12" s="18" t="s"/>
      <c r="O12" s="18" t="s"/>
    </row>
    <row r="13" spans="1:15" ht="15.6">
      <c r="A13" s="14">
        <v>6</v>
      </c>
      <c r="B13" s="15" t="s">
        <v>22</v>
      </c>
      <c r="C13" s="16">
        <f>=E13-D13</f>
        <v>39</v>
      </c>
      <c r="D13" s="16">
        <v>43</v>
      </c>
      <c r="E13" s="16">
        <v>82</v>
      </c>
      <c r="F13" s="16">
        <v>71</v>
      </c>
      <c r="G13" s="16">
        <v>7</v>
      </c>
      <c r="H13" s="16">
        <v>76</v>
      </c>
      <c r="I13" s="16">
        <v>7</v>
      </c>
      <c r="J13" s="17">
        <f>=E13+F13+G13+H13+I13</f>
        <v>243</v>
      </c>
      <c r="K13" s="17">
        <v>114</v>
      </c>
      <c r="L13" s="18" t="s"/>
      <c r="M13" s="18" t="s"/>
      <c r="N13" s="18" t="s"/>
      <c r="O13" s="18" t="s"/>
    </row>
    <row r="14" spans="1:15" ht="15.6">
      <c r="A14" s="14">
        <v>7</v>
      </c>
      <c r="B14" s="15" t="s">
        <v>23</v>
      </c>
      <c r="C14" s="19">
        <f>=E14-D14</f>
        <v>59</v>
      </c>
      <c r="D14" s="19">
        <v>37</v>
      </c>
      <c r="E14" s="19">
        <v>96</v>
      </c>
      <c r="F14" s="19">
        <v>94</v>
      </c>
      <c r="G14" s="19" t="s"/>
      <c r="H14" s="19">
        <v>85</v>
      </c>
      <c r="I14" s="19" t="s"/>
      <c r="J14" s="20">
        <f>=E14+F14+G14+H14+I14</f>
        <v>275</v>
      </c>
      <c r="K14" s="20">
        <v>143</v>
      </c>
      <c r="L14" s="21" t="s"/>
      <c r="M14" s="21" t="s"/>
      <c r="N14" s="18" t="s"/>
      <c r="O14" s="21" t="s"/>
    </row>
    <row r="15" spans="1:15" ht="15.6">
      <c r="A15" s="14">
        <v>8</v>
      </c>
      <c r="B15" s="15" t="s">
        <v>24</v>
      </c>
      <c r="C15" s="22">
        <f>=E15-D15</f>
        <v>81</v>
      </c>
      <c r="D15" s="22">
        <v>39</v>
      </c>
      <c r="E15" s="22">
        <v>120</v>
      </c>
      <c r="F15" s="22">
        <v>122</v>
      </c>
      <c r="G15" s="22" t="s"/>
      <c r="H15" s="22">
        <v>79</v>
      </c>
      <c r="I15" s="22">
        <v>21</v>
      </c>
      <c r="J15" s="23">
        <f>=E15+F15+G15+H15+I15</f>
        <v>342</v>
      </c>
      <c r="K15" s="23">
        <v>196</v>
      </c>
      <c r="L15" s="24" t="s"/>
      <c r="M15" s="24" t="s"/>
      <c r="N15" s="18" t="s"/>
      <c r="O15" s="24" t="s"/>
    </row>
    <row r="16" spans="1:15" ht="15.6">
      <c r="A16" s="14">
        <v>9</v>
      </c>
      <c r="B16" s="15" t="s">
        <v>21</v>
      </c>
      <c r="C16" s="16">
        <f>=E16-D16</f>
        <v>39</v>
      </c>
      <c r="D16" s="16">
        <v>43</v>
      </c>
      <c r="E16" s="16">
        <v>82</v>
      </c>
      <c r="F16" s="16">
        <v>71</v>
      </c>
      <c r="G16" s="16">
        <v>11</v>
      </c>
      <c r="H16" s="16">
        <v>78</v>
      </c>
      <c r="I16" s="16">
        <v>5</v>
      </c>
      <c r="J16" s="17">
        <f>=E16+F16+G16+H16+I16</f>
        <v>247</v>
      </c>
      <c r="K16" s="17">
        <v>114</v>
      </c>
      <c r="L16" s="18" t="s"/>
      <c r="M16" s="18" t="s"/>
      <c r="N16" s="18" t="s"/>
      <c r="O16" s="18" t="s"/>
    </row>
    <row r="17" spans="1:15" ht="15.6">
      <c r="A17" s="14">
        <v>10</v>
      </c>
      <c r="B17" s="15" t="s">
        <v>20</v>
      </c>
      <c r="C17" s="16">
        <f>=E17-D17</f>
        <v>39</v>
      </c>
      <c r="D17" s="16">
        <v>43</v>
      </c>
      <c r="E17" s="16">
        <v>82</v>
      </c>
      <c r="F17" s="16">
        <v>71</v>
      </c>
      <c r="G17" s="16">
        <v>11</v>
      </c>
      <c r="H17" s="16">
        <v>76</v>
      </c>
      <c r="I17" s="16">
        <v>12</v>
      </c>
      <c r="J17" s="17">
        <f>=E17+F17+G17+H17+I17</f>
        <v>252</v>
      </c>
      <c r="K17" s="17">
        <v>114</v>
      </c>
      <c r="L17" s="18" t="s"/>
      <c r="M17" s="18" t="s"/>
      <c r="N17" s="18" t="s"/>
      <c r="O17" s="18" t="s"/>
    </row>
    <row r="18" spans="1:15" ht="15.6">
      <c r="A18" s="14">
        <v>11</v>
      </c>
      <c r="B18" s="15" t="s">
        <v>21</v>
      </c>
      <c r="C18" s="16">
        <f>=E18-D18</f>
        <v>39</v>
      </c>
      <c r="D18" s="16">
        <v>43</v>
      </c>
      <c r="E18" s="16">
        <v>82</v>
      </c>
      <c r="F18" s="16">
        <v>71</v>
      </c>
      <c r="G18" s="16">
        <v>11</v>
      </c>
      <c r="H18" s="16">
        <v>78</v>
      </c>
      <c r="I18" s="16">
        <v>5</v>
      </c>
      <c r="J18" s="17">
        <f>=E18+F18+G18+H18+I18</f>
        <v>247</v>
      </c>
      <c r="K18" s="17">
        <v>114</v>
      </c>
      <c r="L18" s="18" t="s"/>
      <c r="M18" s="18" t="s"/>
      <c r="N18" s="18" t="s"/>
      <c r="O18" s="18" t="s"/>
    </row>
    <row r="19" spans="1:15" ht="15.6">
      <c r="A19" s="14">
        <v>12</v>
      </c>
      <c r="B19" s="15" t="s">
        <v>20</v>
      </c>
      <c r="C19" s="16">
        <f>=E19-D19</f>
        <v>39</v>
      </c>
      <c r="D19" s="16">
        <v>43</v>
      </c>
      <c r="E19" s="16">
        <v>82</v>
      </c>
      <c r="F19" s="16">
        <v>71</v>
      </c>
      <c r="G19" s="16">
        <v>11</v>
      </c>
      <c r="H19" s="16">
        <v>76</v>
      </c>
      <c r="I19" s="16">
        <v>12</v>
      </c>
      <c r="J19" s="17">
        <f>=E19+F19+G19+H19+I19</f>
        <v>252</v>
      </c>
      <c r="K19" s="17">
        <v>114</v>
      </c>
      <c r="L19" s="18" t="s"/>
      <c r="M19" s="18" t="s"/>
      <c r="N19" s="18" t="s"/>
      <c r="O19" s="18" t="s"/>
    </row>
    <row r="20" spans="1:15" ht="15.6">
      <c r="A20" s="14">
        <v>13</v>
      </c>
      <c r="B20" s="15" t="s">
        <v>21</v>
      </c>
      <c r="C20" s="16">
        <f>=E20-D20</f>
        <v>39</v>
      </c>
      <c r="D20" s="16">
        <v>43</v>
      </c>
      <c r="E20" s="16">
        <v>82</v>
      </c>
      <c r="F20" s="16">
        <v>71</v>
      </c>
      <c r="G20" s="16">
        <v>11</v>
      </c>
      <c r="H20" s="16">
        <v>78</v>
      </c>
      <c r="I20" s="16">
        <v>5</v>
      </c>
      <c r="J20" s="17">
        <f>=E20+F20+G20+H20+I20</f>
        <v>247</v>
      </c>
      <c r="K20" s="17">
        <v>114</v>
      </c>
      <c r="L20" s="18" t="s"/>
      <c r="M20" s="18" t="s"/>
      <c r="N20" s="18" t="s"/>
      <c r="O20" s="18" t="s"/>
    </row>
    <row r="21" spans="1:15" ht="15.6" hidden="true">
      <c r="A21" s="14">
        <v>14</v>
      </c>
      <c r="B21" s="15" t="s">
        <v>25</v>
      </c>
      <c r="C21" s="16">
        <f>=E21-D21</f>
        <v>39</v>
      </c>
      <c r="D21" s="16">
        <v>43</v>
      </c>
      <c r="E21" s="16">
        <v>82</v>
      </c>
      <c r="F21" s="16">
        <v>71</v>
      </c>
      <c r="G21" s="16">
        <v>11</v>
      </c>
      <c r="H21" s="16">
        <v>83</v>
      </c>
      <c r="I21" s="16">
        <v>5</v>
      </c>
      <c r="J21" s="17">
        <f>=E21+F21+G21+H21+I21</f>
        <v>252</v>
      </c>
      <c r="K21" s="17">
        <v>115</v>
      </c>
      <c r="L21" s="18" t="s"/>
      <c r="M21" s="18" t="s"/>
      <c r="N21" s="18" t="s"/>
      <c r="O21" s="18" t="s"/>
    </row>
    <row r="22" spans="1:15" ht="15.6">
      <c r="A22" s="14">
        <v>15</v>
      </c>
      <c r="B22" s="15" t="s">
        <v>26</v>
      </c>
      <c r="C22" s="16">
        <f>=E22-D22</f>
        <v>39</v>
      </c>
      <c r="D22" s="16">
        <v>43</v>
      </c>
      <c r="E22" s="16">
        <v>82</v>
      </c>
      <c r="F22" s="16">
        <v>71</v>
      </c>
      <c r="G22" s="16">
        <v>11</v>
      </c>
      <c r="H22" s="16">
        <v>78</v>
      </c>
      <c r="I22" s="16">
        <v>5</v>
      </c>
      <c r="J22" s="17">
        <f>=E22+F22+G22+H22+I22</f>
        <v>247</v>
      </c>
      <c r="K22" s="17">
        <v>115</v>
      </c>
      <c r="L22" s="18" t="s"/>
      <c r="M22" s="18" t="s"/>
      <c r="N22" s="18" t="s"/>
      <c r="O22" s="18" t="s"/>
    </row>
    <row r="23" spans="1:15" ht="15.6">
      <c r="A23" s="14">
        <v>16</v>
      </c>
      <c r="B23" s="15" t="s">
        <v>21</v>
      </c>
      <c r="C23" s="16">
        <f>=E23-D23</f>
        <v>39</v>
      </c>
      <c r="D23" s="16">
        <v>43</v>
      </c>
      <c r="E23" s="16">
        <v>82</v>
      </c>
      <c r="F23" s="16">
        <v>71</v>
      </c>
      <c r="G23" s="16">
        <v>11</v>
      </c>
      <c r="H23" s="16">
        <v>78</v>
      </c>
      <c r="I23" s="16">
        <v>5</v>
      </c>
      <c r="J23" s="17">
        <f>=E23+F23+G23+H23+I23</f>
        <v>247</v>
      </c>
      <c r="K23" s="17">
        <v>114</v>
      </c>
      <c r="L23" s="18" t="s"/>
      <c r="M23" s="18" t="s"/>
      <c r="N23" s="18" t="s"/>
      <c r="O23" s="18" t="s"/>
    </row>
    <row r="24" spans="1:15" ht="15.6">
      <c r="A24" s="14">
        <v>17</v>
      </c>
      <c r="B24" s="15" t="s">
        <v>20</v>
      </c>
      <c r="C24" s="16">
        <f>=E24-D24</f>
        <v>39</v>
      </c>
      <c r="D24" s="16">
        <v>43</v>
      </c>
      <c r="E24" s="16">
        <v>82</v>
      </c>
      <c r="F24" s="16">
        <v>71</v>
      </c>
      <c r="G24" s="16">
        <v>11</v>
      </c>
      <c r="H24" s="16">
        <v>76</v>
      </c>
      <c r="I24" s="16">
        <v>12</v>
      </c>
      <c r="J24" s="17">
        <f>=E24+F24+G24+H24+I24</f>
        <v>252</v>
      </c>
      <c r="K24" s="17">
        <v>114</v>
      </c>
      <c r="L24" s="18" t="s"/>
      <c r="M24" s="18" t="s"/>
      <c r="N24" s="18" t="s"/>
      <c r="O24" s="18" t="s"/>
    </row>
    <row r="25" spans="1:15" ht="15.6">
      <c r="A25" s="14">
        <v>18</v>
      </c>
      <c r="B25" s="15" t="s">
        <v>21</v>
      </c>
      <c r="C25" s="16">
        <f>=E25-D25</f>
        <v>39</v>
      </c>
      <c r="D25" s="16">
        <v>43</v>
      </c>
      <c r="E25" s="16">
        <v>82</v>
      </c>
      <c r="F25" s="16">
        <v>71</v>
      </c>
      <c r="G25" s="16">
        <v>11</v>
      </c>
      <c r="H25" s="16">
        <v>78</v>
      </c>
      <c r="I25" s="16">
        <v>5</v>
      </c>
      <c r="J25" s="17">
        <f>=E25+F25+G25+H25+I25</f>
        <v>247</v>
      </c>
      <c r="K25" s="17">
        <v>114</v>
      </c>
      <c r="L25" s="18" t="s"/>
      <c r="M25" s="18" t="s"/>
      <c r="N25" s="18" t="s"/>
      <c r="O25" s="18" t="s"/>
    </row>
    <row r="26" spans="1:15" ht="15.6">
      <c r="A26" s="14">
        <v>19</v>
      </c>
      <c r="B26" s="15" t="s">
        <v>20</v>
      </c>
      <c r="C26" s="16">
        <f>=E26-D26</f>
        <v>39</v>
      </c>
      <c r="D26" s="16">
        <v>43</v>
      </c>
      <c r="E26" s="16">
        <v>82</v>
      </c>
      <c r="F26" s="16">
        <v>71</v>
      </c>
      <c r="G26" s="16">
        <v>11</v>
      </c>
      <c r="H26" s="16">
        <v>76</v>
      </c>
      <c r="I26" s="16">
        <v>12</v>
      </c>
      <c r="J26" s="17">
        <f>=E26+F26+G26+H26+I26</f>
        <v>252</v>
      </c>
      <c r="K26" s="17">
        <v>114</v>
      </c>
      <c r="L26" s="18" t="s"/>
      <c r="M26" s="18" t="s"/>
      <c r="N26" s="18" t="s"/>
      <c r="O26" s="18" t="s"/>
    </row>
    <row r="27" spans="1:15" ht="15.6">
      <c r="A27" s="14">
        <v>20</v>
      </c>
      <c r="B27" s="15" t="s">
        <v>27</v>
      </c>
      <c r="C27" s="22">
        <f>=E27-D27</f>
        <v>84</v>
      </c>
      <c r="D27" s="22">
        <v>39</v>
      </c>
      <c r="E27" s="22">
        <v>123</v>
      </c>
      <c r="F27" s="22">
        <v>117</v>
      </c>
      <c r="G27" s="22">
        <v>4</v>
      </c>
      <c r="H27" s="22">
        <v>53</v>
      </c>
      <c r="I27" s="22">
        <v>57</v>
      </c>
      <c r="J27" s="23">
        <f>=E27+F27+G27+H27+I27</f>
        <v>354</v>
      </c>
      <c r="K27" s="23">
        <v>154</v>
      </c>
      <c r="L27" s="24" t="s"/>
      <c r="M27" s="24" t="s"/>
      <c r="N27" s="18" t="s"/>
      <c r="O27" s="24" t="s"/>
    </row>
    <row r="28" spans="1:15" ht="15.6">
      <c r="A28" s="25">
        <v>21</v>
      </c>
      <c r="B28" s="26" t="s">
        <v>28</v>
      </c>
      <c r="C28" s="22">
        <f>=E28-D28</f>
        <v>47</v>
      </c>
      <c r="D28" s="22">
        <v>25</v>
      </c>
      <c r="E28" s="22">
        <v>72</v>
      </c>
      <c r="F28" s="22">
        <v>66</v>
      </c>
      <c r="G28" s="22">
        <v>12</v>
      </c>
      <c r="H28" s="22">
        <v>76</v>
      </c>
      <c r="I28" s="22" t="s"/>
      <c r="J28" s="23">
        <f>=E28+F28+G28+H28+I28</f>
        <v>226</v>
      </c>
      <c r="K28" s="23">
        <v>284</v>
      </c>
      <c r="L28" s="24" t="s"/>
      <c r="M28" s="24" t="s"/>
      <c r="N28" s="18" t="s"/>
      <c r="O28" s="24" t="s"/>
    </row>
    <row r="29" spans="1:15" ht="15.6">
      <c r="A29" s="14">
        <v>22</v>
      </c>
      <c r="B29" s="15" t="s">
        <v>29</v>
      </c>
      <c r="C29" s="16">
        <f>=E29-D29</f>
        <v>22</v>
      </c>
      <c r="D29" s="16">
        <v>44</v>
      </c>
      <c r="E29" s="16">
        <v>66</v>
      </c>
      <c r="F29" s="16">
        <v>62</v>
      </c>
      <c r="G29" s="16">
        <v>5</v>
      </c>
      <c r="H29" s="16">
        <v>67</v>
      </c>
      <c r="I29" s="16" t="s"/>
      <c r="J29" s="17">
        <f>=E29+F29+G29+H29+I29</f>
        <v>200</v>
      </c>
      <c r="K29" s="17">
        <v>137</v>
      </c>
      <c r="L29" s="18" t="s"/>
      <c r="M29" s="18" t="s"/>
      <c r="N29" s="18" t="s"/>
      <c r="O29" s="18" t="s"/>
    </row>
    <row r="30" spans="1:15" ht="15.6">
      <c r="A30" s="14">
        <v>23</v>
      </c>
      <c r="B30" s="15" t="s">
        <v>30</v>
      </c>
      <c r="C30" s="16">
        <f>=E30-D30</f>
        <v>25</v>
      </c>
      <c r="D30" s="16">
        <v>45</v>
      </c>
      <c r="E30" s="16">
        <v>70</v>
      </c>
      <c r="F30" s="16">
        <v>64</v>
      </c>
      <c r="G30" s="16">
        <v>3</v>
      </c>
      <c r="H30" s="16">
        <v>73</v>
      </c>
      <c r="I30" s="16" t="s"/>
      <c r="J30" s="17">
        <f>=E30+F30+G30+H30+I30</f>
        <v>210</v>
      </c>
      <c r="K30" s="17">
        <v>123</v>
      </c>
      <c r="L30" s="18" t="s"/>
      <c r="M30" s="18" t="s"/>
      <c r="N30" s="18" t="s"/>
      <c r="O30" s="18" t="s"/>
    </row>
    <row r="31" spans="1:15" ht="15.6">
      <c r="A31" s="14">
        <v>24</v>
      </c>
      <c r="B31" s="15" t="s">
        <v>31</v>
      </c>
      <c r="C31" s="16">
        <f>=E31-D31</f>
        <v>40</v>
      </c>
      <c r="D31" s="16">
        <v>43</v>
      </c>
      <c r="E31" s="16">
        <v>83</v>
      </c>
      <c r="F31" s="16">
        <v>71</v>
      </c>
      <c r="G31" s="16">
        <v>10</v>
      </c>
      <c r="H31" s="16">
        <v>79</v>
      </c>
      <c r="I31" s="16">
        <v>5</v>
      </c>
      <c r="J31" s="17">
        <f>=E31+F31+G31+H31+I31</f>
        <v>248</v>
      </c>
      <c r="K31" s="17">
        <v>123</v>
      </c>
      <c r="L31" s="18" t="s"/>
      <c r="M31" s="18" t="s"/>
      <c r="N31" s="18" t="s"/>
      <c r="O31" s="18" t="s"/>
    </row>
    <row r="32" spans="1:15" ht="15.6">
      <c r="A32" s="14">
        <v>25</v>
      </c>
      <c r="B32" s="15" t="s">
        <v>32</v>
      </c>
      <c r="C32" s="27">
        <f>=E32-D32</f>
        <v>58</v>
      </c>
      <c r="D32" s="27">
        <v>43</v>
      </c>
      <c r="E32" s="27">
        <v>101</v>
      </c>
      <c r="F32" s="27">
        <v>83</v>
      </c>
      <c r="G32" s="27">
        <v>17</v>
      </c>
      <c r="H32" s="27">
        <v>78</v>
      </c>
      <c r="I32" s="27">
        <v>17</v>
      </c>
      <c r="J32" s="28">
        <f>=E32+F32+G32+H32+I32</f>
        <v>296</v>
      </c>
      <c r="K32" s="28">
        <v>133</v>
      </c>
      <c r="L32" s="29" t="s"/>
      <c r="M32" s="29" t="s"/>
      <c r="N32" s="18" t="s"/>
      <c r="O32" s="29" t="s"/>
    </row>
    <row r="33" spans="1:15" ht="15.6">
      <c r="A33" s="14">
        <v>26</v>
      </c>
      <c r="B33" s="15" t="s">
        <v>33</v>
      </c>
      <c r="C33" s="27">
        <f>=E33-D33</f>
        <v>58</v>
      </c>
      <c r="D33" s="27">
        <v>43</v>
      </c>
      <c r="E33" s="27">
        <v>101</v>
      </c>
      <c r="F33" s="27">
        <v>87</v>
      </c>
      <c r="G33" s="27">
        <v>13</v>
      </c>
      <c r="H33" s="27">
        <v>78</v>
      </c>
      <c r="I33" s="27">
        <v>17</v>
      </c>
      <c r="J33" s="28">
        <f>=E33+F33+G33+H33+I33</f>
        <v>296</v>
      </c>
      <c r="K33" s="28">
        <v>133</v>
      </c>
      <c r="L33" s="29" t="s"/>
      <c r="M33" s="29" t="s"/>
      <c r="N33" s="18" t="s"/>
      <c r="O33" s="29" t="s"/>
    </row>
    <row r="34" spans="1:15" ht="15.6">
      <c r="A34" s="14">
        <v>27</v>
      </c>
      <c r="B34" s="15" t="s">
        <v>32</v>
      </c>
      <c r="C34" s="27">
        <f>=E34-D34</f>
        <v>58</v>
      </c>
      <c r="D34" s="27">
        <v>43</v>
      </c>
      <c r="E34" s="27">
        <v>101</v>
      </c>
      <c r="F34" s="27">
        <v>83</v>
      </c>
      <c r="G34" s="27">
        <v>17</v>
      </c>
      <c r="H34" s="27">
        <v>78</v>
      </c>
      <c r="I34" s="27">
        <v>17</v>
      </c>
      <c r="J34" s="28">
        <f>=E34+F34+G34+H34+I34</f>
        <v>296</v>
      </c>
      <c r="K34" s="28">
        <v>133</v>
      </c>
      <c r="L34" s="29" t="s"/>
      <c r="M34" s="29" t="s"/>
      <c r="N34" s="18" t="s"/>
      <c r="O34" s="29" t="s"/>
    </row>
    <row r="35" spans="1:15" ht="15.6">
      <c r="A35" s="14">
        <v>28</v>
      </c>
      <c r="B35" s="15" t="s">
        <v>34</v>
      </c>
      <c r="C35" s="27">
        <f>=E35-D35</f>
        <v>58</v>
      </c>
      <c r="D35" s="27">
        <v>43</v>
      </c>
      <c r="E35" s="27">
        <v>101</v>
      </c>
      <c r="F35" s="27">
        <v>87</v>
      </c>
      <c r="G35" s="27">
        <v>13</v>
      </c>
      <c r="H35" s="27">
        <v>78</v>
      </c>
      <c r="I35" s="27">
        <v>17</v>
      </c>
      <c r="J35" s="28">
        <f>=E35+F35+G35+H35+I35</f>
        <v>296</v>
      </c>
      <c r="K35" s="28">
        <v>133</v>
      </c>
      <c r="L35" s="29" t="s"/>
      <c r="M35" s="29" t="s"/>
      <c r="N35" s="18" t="s"/>
      <c r="O35" s="29" t="s"/>
    </row>
    <row r="36" spans="1:15" ht="15.6">
      <c r="A36" s="14">
        <v>29</v>
      </c>
      <c r="B36" s="15" t="s">
        <v>35</v>
      </c>
      <c r="C36" s="22">
        <f>=E36-D36</f>
        <v>54</v>
      </c>
      <c r="D36" s="22">
        <v>39</v>
      </c>
      <c r="E36" s="22">
        <v>93</v>
      </c>
      <c r="F36" s="22">
        <v>85</v>
      </c>
      <c r="G36" s="22">
        <v>9</v>
      </c>
      <c r="H36" s="22">
        <v>85</v>
      </c>
      <c r="I36" s="22">
        <v>9</v>
      </c>
      <c r="J36" s="23">
        <f>=E36+F36+G36+H36+I36</f>
        <v>281</v>
      </c>
      <c r="K36" s="23">
        <v>126</v>
      </c>
      <c r="L36" s="24" t="s"/>
      <c r="M36" s="24" t="s"/>
      <c r="N36" s="18" t="s"/>
      <c r="O36" s="24" t="s"/>
    </row>
    <row r="37" spans="1:15" ht="15.6">
      <c r="A37" s="14">
        <v>30</v>
      </c>
      <c r="B37" s="15" t="s">
        <v>36</v>
      </c>
      <c r="C37" s="19">
        <v>71</v>
      </c>
      <c r="D37" s="19">
        <v>37</v>
      </c>
      <c r="E37" s="19">
        <f>=C37+D37</f>
        <v>108</v>
      </c>
      <c r="F37" s="19">
        <v>82</v>
      </c>
      <c r="G37" s="19">
        <v>11</v>
      </c>
      <c r="H37" s="19">
        <v>79</v>
      </c>
      <c r="I37" s="19">
        <v>4</v>
      </c>
      <c r="J37" s="20">
        <f>=E37+F37+G37+H37+I37</f>
        <v>284</v>
      </c>
      <c r="K37" s="20">
        <v>147</v>
      </c>
      <c r="L37" s="21" t="s"/>
      <c r="M37" s="21" t="s"/>
      <c r="N37" s="18" t="s"/>
      <c r="O37" s="21" t="s"/>
    </row>
    <row r="38" spans="1:15" ht="15.6">
      <c r="A38" s="14">
        <v>31</v>
      </c>
      <c r="B38" s="15" t="s">
        <v>20</v>
      </c>
      <c r="C38" s="16">
        <f>=E38-D38</f>
        <v>39</v>
      </c>
      <c r="D38" s="16">
        <v>43</v>
      </c>
      <c r="E38" s="16">
        <v>82</v>
      </c>
      <c r="F38" s="16">
        <v>71</v>
      </c>
      <c r="G38" s="16">
        <v>11</v>
      </c>
      <c r="H38" s="16">
        <v>76</v>
      </c>
      <c r="I38" s="16">
        <v>12</v>
      </c>
      <c r="J38" s="17">
        <f>=E38+F38+G38+H38+I38</f>
        <v>252</v>
      </c>
      <c r="K38" s="17">
        <v>114</v>
      </c>
      <c r="L38" s="18" t="s"/>
      <c r="M38" s="18" t="s"/>
      <c r="N38" s="18" t="s"/>
      <c r="O38" s="18" t="s"/>
    </row>
    <row r="39" spans="1:15" ht="15.6">
      <c r="A39" s="14">
        <v>32</v>
      </c>
      <c r="B39" s="15" t="s">
        <v>21</v>
      </c>
      <c r="C39" s="16">
        <f>=E39-D39</f>
        <v>39</v>
      </c>
      <c r="D39" s="16">
        <v>43</v>
      </c>
      <c r="E39" s="16">
        <v>82</v>
      </c>
      <c r="F39" s="16">
        <v>71</v>
      </c>
      <c r="G39" s="16">
        <v>11</v>
      </c>
      <c r="H39" s="16">
        <v>78</v>
      </c>
      <c r="I39" s="16">
        <v>5</v>
      </c>
      <c r="J39" s="17">
        <f>=E39+F39+G39+H39+I39</f>
        <v>247</v>
      </c>
      <c r="K39" s="17">
        <v>114</v>
      </c>
      <c r="L39" s="18" t="s"/>
      <c r="M39" s="18" t="s"/>
      <c r="N39" s="18" t="s"/>
      <c r="O39" s="18" t="s"/>
    </row>
    <row r="40" spans="1:15" ht="15.6">
      <c r="A40" s="14">
        <v>33</v>
      </c>
      <c r="B40" s="15" t="s">
        <v>20</v>
      </c>
      <c r="C40" s="16">
        <f>=E40-D40</f>
        <v>39</v>
      </c>
      <c r="D40" s="16">
        <v>43</v>
      </c>
      <c r="E40" s="16">
        <v>82</v>
      </c>
      <c r="F40" s="16">
        <v>71</v>
      </c>
      <c r="G40" s="16">
        <v>11</v>
      </c>
      <c r="H40" s="16">
        <v>76</v>
      </c>
      <c r="I40" s="16">
        <v>12</v>
      </c>
      <c r="J40" s="17">
        <f>=E40+F40+G40+H40+I40</f>
        <v>252</v>
      </c>
      <c r="K40" s="17">
        <v>114</v>
      </c>
      <c r="L40" s="18" t="s"/>
      <c r="M40" s="18" t="s"/>
      <c r="N40" s="18" t="s"/>
      <c r="O40" s="18" t="s"/>
    </row>
    <row r="41" spans="1:15" ht="15.6">
      <c r="A41" s="14">
        <v>34</v>
      </c>
      <c r="B41" s="15" t="s">
        <v>37</v>
      </c>
      <c r="C41" s="19">
        <f>=E41-D41</f>
        <v>69</v>
      </c>
      <c r="D41" s="19">
        <v>40</v>
      </c>
      <c r="E41" s="19">
        <v>109</v>
      </c>
      <c r="F41" s="19">
        <v>91</v>
      </c>
      <c r="G41" s="19">
        <v>11</v>
      </c>
      <c r="H41" s="19">
        <v>81</v>
      </c>
      <c r="I41" s="19">
        <v>4</v>
      </c>
      <c r="J41" s="20">
        <f>=E41+F41+G41+H41+I41</f>
        <v>296</v>
      </c>
      <c r="K41" s="20">
        <v>147</v>
      </c>
      <c r="L41" s="21" t="s"/>
      <c r="M41" s="21" t="s"/>
      <c r="N41" s="18" t="s"/>
      <c r="O41" s="21" t="s"/>
    </row>
    <row r="42" spans="1:15" ht="15.6">
      <c r="A42" s="14">
        <v>35</v>
      </c>
      <c r="B42" s="15" t="s">
        <v>38</v>
      </c>
      <c r="C42" s="30">
        <f>=E42-D42</f>
        <v>26</v>
      </c>
      <c r="D42" s="30">
        <v>43</v>
      </c>
      <c r="E42" s="30">
        <v>69</v>
      </c>
      <c r="F42" s="30">
        <v>61</v>
      </c>
      <c r="G42" s="30">
        <v>7</v>
      </c>
      <c r="H42" s="30">
        <v>70</v>
      </c>
      <c r="I42" s="30">
        <v>2</v>
      </c>
      <c r="J42" s="31">
        <f>=E42+F42+G42+H42+I42</f>
        <v>209</v>
      </c>
      <c r="K42" s="31">
        <v>95</v>
      </c>
      <c r="L42" s="32" t="s"/>
      <c r="M42" s="32" t="s"/>
      <c r="N42" s="18" t="s"/>
      <c r="O42" s="32" t="s"/>
    </row>
    <row r="43" spans="1:15" ht="15.6">
      <c r="A43" s="14">
        <v>36</v>
      </c>
      <c r="B43" s="15" t="s">
        <v>39</v>
      </c>
      <c r="C43" s="30">
        <f>=E43-D43</f>
        <v>26</v>
      </c>
      <c r="D43" s="30">
        <v>43</v>
      </c>
      <c r="E43" s="30">
        <v>69</v>
      </c>
      <c r="F43" s="30">
        <v>60</v>
      </c>
      <c r="G43" s="30">
        <v>7</v>
      </c>
      <c r="H43" s="30">
        <v>70</v>
      </c>
      <c r="I43" s="30">
        <v>2</v>
      </c>
      <c r="J43" s="31">
        <f>=E43+F43+G43+H43+I43</f>
        <v>208</v>
      </c>
      <c r="K43" s="31">
        <v>95</v>
      </c>
      <c r="L43" s="32" t="s"/>
      <c r="M43" s="32" t="s"/>
      <c r="N43" s="18" t="s"/>
      <c r="O43" s="32" t="s"/>
    </row>
    <row r="44" spans="1:15" ht="15.6">
      <c r="A44" s="14">
        <v>37</v>
      </c>
      <c r="B44" s="15" t="s">
        <v>39</v>
      </c>
      <c r="C44" s="30">
        <f>=E44-D44</f>
        <v>26</v>
      </c>
      <c r="D44" s="30">
        <v>43</v>
      </c>
      <c r="E44" s="30">
        <v>69</v>
      </c>
      <c r="F44" s="30">
        <v>60</v>
      </c>
      <c r="G44" s="30">
        <v>7</v>
      </c>
      <c r="H44" s="30">
        <v>70</v>
      </c>
      <c r="I44" s="30">
        <v>2</v>
      </c>
      <c r="J44" s="31">
        <f>=E44+F44+G44+H44+I44</f>
        <v>208</v>
      </c>
      <c r="K44" s="31">
        <v>95</v>
      </c>
      <c r="L44" s="32" t="s"/>
      <c r="M44" s="32" t="s"/>
      <c r="N44" s="18" t="s"/>
      <c r="O44" s="32" t="s"/>
    </row>
    <row r="45" spans="1:15" ht="15.6">
      <c r="A45" s="14">
        <v>38</v>
      </c>
      <c r="B45" s="15" t="s">
        <v>39</v>
      </c>
      <c r="C45" s="30">
        <f>=E45-D45</f>
        <v>26</v>
      </c>
      <c r="D45" s="30">
        <v>43</v>
      </c>
      <c r="E45" s="30">
        <v>69</v>
      </c>
      <c r="F45" s="30">
        <v>60</v>
      </c>
      <c r="G45" s="30">
        <v>7</v>
      </c>
      <c r="H45" s="30">
        <v>70</v>
      </c>
      <c r="I45" s="30">
        <v>2</v>
      </c>
      <c r="J45" s="31">
        <f>=E45+F45+G45+H45+I45</f>
        <v>208</v>
      </c>
      <c r="K45" s="31">
        <v>95</v>
      </c>
      <c r="L45" s="32" t="s"/>
      <c r="M45" s="32" t="s"/>
      <c r="N45" s="18" t="s"/>
      <c r="O45" s="32" t="s"/>
    </row>
    <row r="46" spans="1:15" ht="15.6">
      <c r="A46" s="14">
        <v>39</v>
      </c>
      <c r="B46" s="15" t="s">
        <v>39</v>
      </c>
      <c r="C46" s="30">
        <f>=E46-D46</f>
        <v>26</v>
      </c>
      <c r="D46" s="30">
        <v>43</v>
      </c>
      <c r="E46" s="30">
        <v>69</v>
      </c>
      <c r="F46" s="30">
        <v>60</v>
      </c>
      <c r="G46" s="30">
        <v>7</v>
      </c>
      <c r="H46" s="30">
        <v>70</v>
      </c>
      <c r="I46" s="30">
        <v>2</v>
      </c>
      <c r="J46" s="31">
        <f>=E46+F46+G46+H46+I46</f>
        <v>208</v>
      </c>
      <c r="K46" s="31">
        <v>95</v>
      </c>
      <c r="L46" s="32" t="s"/>
      <c r="M46" s="32" t="s"/>
      <c r="N46" s="18" t="s"/>
      <c r="O46" s="32" t="s"/>
    </row>
    <row r="47" spans="1:15" ht="15.6">
      <c r="A47" s="14">
        <v>40</v>
      </c>
      <c r="B47" s="15" t="s">
        <v>40</v>
      </c>
      <c r="C47" s="30">
        <f>=E47-D47</f>
        <v>26</v>
      </c>
      <c r="D47" s="30">
        <v>43</v>
      </c>
      <c r="E47" s="30">
        <v>69</v>
      </c>
      <c r="F47" s="30">
        <v>61</v>
      </c>
      <c r="G47" s="30">
        <v>7</v>
      </c>
      <c r="H47" s="30">
        <v>70</v>
      </c>
      <c r="I47" s="30">
        <v>2</v>
      </c>
      <c r="J47" s="31">
        <f>=E47+F47+G47+H47+I47</f>
        <v>209</v>
      </c>
      <c r="K47" s="31">
        <v>95</v>
      </c>
      <c r="L47" s="32" t="s"/>
      <c r="M47" s="32" t="s"/>
      <c r="N47" s="18" t="s"/>
      <c r="O47" s="32" t="s"/>
    </row>
    <row r="48" spans="1:15" ht="15.6">
      <c r="A48" s="14">
        <v>41</v>
      </c>
      <c r="B48" s="15" t="s">
        <v>41</v>
      </c>
      <c r="C48" s="30">
        <f>=E48-D48</f>
        <v>26</v>
      </c>
      <c r="D48" s="30">
        <v>43</v>
      </c>
      <c r="E48" s="30">
        <v>69</v>
      </c>
      <c r="F48" s="30">
        <v>61</v>
      </c>
      <c r="G48" s="30">
        <v>9</v>
      </c>
      <c r="H48" s="30">
        <v>70</v>
      </c>
      <c r="I48" s="30">
        <v>2</v>
      </c>
      <c r="J48" s="31">
        <f>=E48+F48+G48+H48+I48</f>
        <v>211</v>
      </c>
      <c r="K48" s="31">
        <v>69</v>
      </c>
      <c r="L48" s="32" t="s"/>
      <c r="M48" s="32" t="s"/>
      <c r="N48" s="18" t="s"/>
      <c r="O48" s="32" t="s"/>
    </row>
    <row r="49" spans="1:15" ht="15.6">
      <c r="A49" s="14">
        <v>42</v>
      </c>
      <c r="B49" s="33" t="s">
        <v>42</v>
      </c>
      <c r="C49" s="30">
        <f>=E49-D49</f>
        <v>25</v>
      </c>
      <c r="D49" s="30">
        <v>43</v>
      </c>
      <c r="E49" s="30">
        <v>68</v>
      </c>
      <c r="F49" s="30">
        <v>60</v>
      </c>
      <c r="G49" s="30">
        <v>9</v>
      </c>
      <c r="H49" s="30">
        <v>70</v>
      </c>
      <c r="I49" s="30">
        <v>2</v>
      </c>
      <c r="J49" s="31">
        <f>=E49+F49+G49+H49+I49</f>
        <v>209</v>
      </c>
      <c r="K49" s="31">
        <v>87</v>
      </c>
      <c r="L49" s="32" t="s"/>
      <c r="M49" s="32" t="s"/>
      <c r="N49" s="18" t="s"/>
      <c r="O49" s="32" t="s"/>
    </row>
    <row r="50" spans="1:15" ht="15.6">
      <c r="A50" s="14">
        <v>43</v>
      </c>
      <c r="B50" s="33" t="s">
        <v>42</v>
      </c>
      <c r="C50" s="30">
        <f>=E50-D50</f>
        <v>25</v>
      </c>
      <c r="D50" s="30">
        <v>43</v>
      </c>
      <c r="E50" s="30">
        <v>68</v>
      </c>
      <c r="F50" s="30">
        <v>60</v>
      </c>
      <c r="G50" s="30">
        <v>9</v>
      </c>
      <c r="H50" s="30">
        <v>70</v>
      </c>
      <c r="I50" s="30">
        <v>2</v>
      </c>
      <c r="J50" s="31">
        <f>=E50+F50+G50+H50+I50</f>
        <v>209</v>
      </c>
      <c r="K50" s="31">
        <v>90</v>
      </c>
      <c r="L50" s="32" t="s"/>
      <c r="M50" s="32" t="s"/>
      <c r="N50" s="18" t="s"/>
      <c r="O50" s="32" t="s"/>
    </row>
    <row r="51" spans="1:15" ht="15.6">
      <c r="A51" s="14">
        <v>44</v>
      </c>
      <c r="B51" s="33" t="s">
        <v>42</v>
      </c>
      <c r="C51" s="30">
        <f>=E51-D51</f>
        <v>25</v>
      </c>
      <c r="D51" s="30">
        <v>43</v>
      </c>
      <c r="E51" s="30">
        <v>68</v>
      </c>
      <c r="F51" s="30">
        <v>60</v>
      </c>
      <c r="G51" s="30">
        <v>9</v>
      </c>
      <c r="H51" s="30">
        <v>70</v>
      </c>
      <c r="I51" s="30">
        <v>2</v>
      </c>
      <c r="J51" s="31">
        <f>=E51+F51+G51+H51+I51</f>
        <v>209</v>
      </c>
      <c r="K51" s="31">
        <v>94</v>
      </c>
      <c r="L51" s="32" t="s"/>
      <c r="M51" s="32" t="s"/>
      <c r="N51" s="18" t="s"/>
      <c r="O51" s="32" t="s"/>
    </row>
    <row r="52" spans="1:15" ht="15.6">
      <c r="A52" s="14">
        <v>45</v>
      </c>
      <c r="B52" s="33" t="s">
        <v>42</v>
      </c>
      <c r="C52" s="30">
        <f>=E52-D52</f>
        <v>25</v>
      </c>
      <c r="D52" s="30">
        <v>43</v>
      </c>
      <c r="E52" s="30">
        <v>68</v>
      </c>
      <c r="F52" s="30">
        <v>60</v>
      </c>
      <c r="G52" s="30">
        <v>9</v>
      </c>
      <c r="H52" s="30">
        <v>70</v>
      </c>
      <c r="I52" s="30">
        <v>2</v>
      </c>
      <c r="J52" s="31">
        <f>=E52+F52+G52+H52+I52</f>
        <v>209</v>
      </c>
      <c r="K52" s="31">
        <v>97</v>
      </c>
      <c r="L52" s="32" t="s"/>
      <c r="M52" s="32" t="s"/>
      <c r="N52" s="18" t="s"/>
      <c r="O52" s="32" t="s"/>
    </row>
    <row r="53" spans="1:15" ht="15.6">
      <c r="A53" s="14">
        <v>46</v>
      </c>
      <c r="B53" s="33" t="s">
        <v>42</v>
      </c>
      <c r="C53" s="30">
        <f>=E53-D53</f>
        <v>25</v>
      </c>
      <c r="D53" s="30">
        <v>43</v>
      </c>
      <c r="E53" s="30">
        <v>68</v>
      </c>
      <c r="F53" s="30">
        <v>60</v>
      </c>
      <c r="G53" s="30">
        <v>9</v>
      </c>
      <c r="H53" s="30">
        <v>70</v>
      </c>
      <c r="I53" s="30">
        <v>2</v>
      </c>
      <c r="J53" s="31">
        <f>=E53+F53+G53+H53+I53</f>
        <v>209</v>
      </c>
      <c r="K53" s="31">
        <v>100</v>
      </c>
      <c r="L53" s="32" t="s"/>
      <c r="M53" s="32" t="s"/>
      <c r="N53" s="18" t="s"/>
      <c r="O53" s="32" t="s"/>
    </row>
    <row r="54" spans="1:15" ht="15.6">
      <c r="A54" s="34">
        <v>47</v>
      </c>
      <c r="B54" s="35" t="s">
        <v>43</v>
      </c>
      <c r="C54" s="36">
        <f>=E54-D54</f>
        <v>77</v>
      </c>
      <c r="D54" s="36">
        <v>40</v>
      </c>
      <c r="E54" s="36">
        <v>117</v>
      </c>
      <c r="F54" s="36">
        <v>99</v>
      </c>
      <c r="G54" s="36">
        <v>12</v>
      </c>
      <c r="H54" s="36">
        <v>90</v>
      </c>
      <c r="I54" s="36">
        <v>3</v>
      </c>
      <c r="J54" s="37">
        <f>=E54+F54+G54+H54+I54</f>
        <v>321</v>
      </c>
      <c r="K54" s="37">
        <v>169</v>
      </c>
      <c r="L54" s="38" t="s"/>
      <c r="M54" s="38" t="s"/>
      <c r="N54" s="18" t="s"/>
      <c r="O54" s="38" t="s"/>
    </row>
    <row r="55" spans="3:15">
      <c r="C55" s="39">
        <f>=SUM(C8:C54)</f>
        <v>1948</v>
      </c>
      <c r="D55" s="39">
        <f>=SUM(D8:D54)</f>
        <v>1976</v>
      </c>
      <c r="E55" s="39">
        <f>=SUM(E8:E54)</f>
        <v>3924</v>
      </c>
      <c r="F55" s="39">
        <f>=SUM(F8:F54)</f>
        <v>3436</v>
      </c>
      <c r="G55" s="39">
        <f>=SUM(G8:G54)</f>
        <v>449</v>
      </c>
      <c r="H55" s="39">
        <f>=SUM(H8:H54)</f>
        <v>3550</v>
      </c>
      <c r="I55" s="39">
        <f>=SUM(I8:I54)</f>
        <v>354</v>
      </c>
      <c r="J55" s="39">
        <f>=SUM(J8:J54)</f>
        <v>11713</v>
      </c>
      <c r="K55" s="39">
        <f>=SUM(K8:K54)</f>
        <v>5668</v>
      </c>
      <c r="L55" s="40" t="s"/>
      <c r="M55" s="40">
        <f>=SUM(M8:M54)</f>
        <v>0</v>
      </c>
      <c r="N55" s="40">
        <f>=SUM(N8:N54)</f>
        <v>0</v>
      </c>
      <c r="O55" s="40">
        <f>=SUM(O8:O54)</f>
        <v>0</v>
      </c>
    </row>
    <row r="56" spans="3:15">
      <c r="C56" s="41">
        <f>=C55/47</f>
        <v>41.4468085106383</v>
      </c>
      <c r="D56" s="41">
        <f>=D55/47</f>
        <v>42.0425531914894</v>
      </c>
      <c r="E56" s="41">
        <f>=E55/47</f>
        <v>83.4893617021277</v>
      </c>
      <c r="F56" s="41">
        <f>=F55/47</f>
        <v>73.1063829787234</v>
      </c>
      <c r="G56" s="41">
        <f>=G55/47</f>
        <v>9.5531914893617</v>
      </c>
      <c r="H56" s="41">
        <f>=H55/47</f>
        <v>75.531914893617</v>
      </c>
      <c r="I56" s="41">
        <f>=I55/47</f>
        <v>7.53191489361702</v>
      </c>
      <c r="J56" s="41">
        <f>=J55/47</f>
        <v>249.212765957447</v>
      </c>
      <c r="K56" s="41">
        <f>=K55/47</f>
        <v>120.595744680851</v>
      </c>
      <c r="L56" s="42" t="s"/>
      <c r="M56" s="42">
        <f>=M55/47</f>
        <v>0</v>
      </c>
      <c r="N56" s="42">
        <f>=N55/47</f>
        <v>0</v>
      </c>
      <c r="O56" s="42">
        <f>=O55/47</f>
        <v>0</v>
      </c>
    </row>
    <row r="57" spans="4:5">
      <c r="D57" s="43" t="s">
        <v>44</v>
      </c>
      <c r="E57">
        <f>=E55/11600</f>
        <v>0.338275862068966</v>
      </c>
    </row>
  </sheetData>
  <mergeCells count="2">
    <mergeCell ref="A1:K1"/>
    <mergeCell ref="A4:K4"/>
  </mergeCells>
</worksheet>
</file>

<file path=xl/worksheets/sheet2.xml><?xml version="1.0" encoding="utf-8"?>
<worksheet xmlns="http://schemas.openxmlformats.org/spreadsheetml/2006/main">
  <sheetPr codeName="Gary"/>
  <dimension ref="K57"/>
  <sheetViews>
    <sheetView showGridLines="true" tabSelected="false" workbookViewId="0">
      <pane xSplit="1" ySplit="7" topLeftCell="B8" activePane="bottomRight" state="frozen"/>
    </sheetView>
  </sheetViews>
  <sheetFormatPr baseColWidth="8" defaultRowHeight="14.4"/>
  <cols>
    <col min="1" max="1" width="16.332" style="45" customWidth="true"/>
    <col min="2" max="11" width="15.1094" customWidth="true"/>
    <col min="12" max="13" width="14.2227" customWidth="true"/>
    <col min="14" max="14" width="11.7695" customWidth="true"/>
    <col min="15" max="15" width="11.043" customWidth="true"/>
  </cols>
  <sheetData>
    <row r="1" spans="1:11" ht="15.6">
      <c r="A1" s="4" t="s">
        <v>49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</row>
    <row r="2" spans="1:11">
      <c r="A2" s="5" t="s"/>
      <c r="B2" s="5" t="s"/>
      <c r="C2" s="5" t="s"/>
      <c r="D2" s="5" t="s"/>
      <c r="E2" s="5" t="s"/>
      <c r="F2" s="5" t="s"/>
      <c r="G2" s="5" t="s"/>
      <c r="H2" s="5" t="s"/>
      <c r="I2" s="5" t="s"/>
      <c r="J2" s="5" t="s"/>
      <c r="K2" s="5" t="s"/>
    </row>
    <row r="3" spans="1:11">
      <c r="A3" s="5" t="s"/>
      <c r="B3" s="5" t="s"/>
      <c r="C3" s="5" t="s"/>
      <c r="D3" s="5" t="s"/>
      <c r="E3" s="5" t="s"/>
      <c r="F3" s="5" t="s"/>
      <c r="G3" s="5" t="s"/>
      <c r="H3" s="5" t="s"/>
      <c r="I3" s="5" t="s"/>
      <c r="J3" s="5" t="s"/>
      <c r="K3" s="5" t="s"/>
    </row>
    <row r="4" spans="1:11" ht="15.6">
      <c r="A4" s="6" t="s">
        <v>1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</row>
    <row r="5" spans="1:11">
      <c r="A5" s="7" t="s">
        <v>45</v>
      </c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</row>
    <row r="6" spans="1:1">
      <c r="A6" s="8" t="s">
        <v>46</v>
      </c>
    </row>
    <row r="7" spans="1:15" s="44" customFormat="true" ht="29.4" customHeight="true">
      <c r="A7" s="9" t="s">
        <v>4</v>
      </c>
      <c r="B7" s="9" t="s">
        <v>5</v>
      </c>
      <c r="C7" s="10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10" t="s">
        <v>12</v>
      </c>
      <c r="J7" s="10" t="s">
        <v>13</v>
      </c>
      <c r="K7" s="10" t="s">
        <v>14</v>
      </c>
      <c r="L7" s="11" t="s">
        <v>15</v>
      </c>
      <c r="M7" s="12" t="s">
        <v>16</v>
      </c>
      <c r="N7" s="12" t="s">
        <v>47</v>
      </c>
      <c r="O7" s="13" t="s">
        <v>18</v>
      </c>
    </row>
    <row r="8" spans="1:15" ht="15.6">
      <c r="A8" s="14">
        <v>1</v>
      </c>
      <c r="B8" s="15" t="s">
        <v>19</v>
      </c>
      <c r="C8" s="16">
        <f>=E8-D8</f>
        <v>39</v>
      </c>
      <c r="D8" s="16">
        <v>43</v>
      </c>
      <c r="E8" s="16">
        <v>82</v>
      </c>
      <c r="F8" s="16">
        <v>71</v>
      </c>
      <c r="G8" s="16">
        <v>11</v>
      </c>
      <c r="H8" s="16">
        <v>82</v>
      </c>
      <c r="I8" s="16">
        <v>6</v>
      </c>
      <c r="J8" s="17">
        <f>=E8+F8+G8+H8+I8</f>
        <v>252</v>
      </c>
      <c r="K8" s="17">
        <v>112</v>
      </c>
      <c r="L8" s="18">
        <v>3700</v>
      </c>
      <c r="M8" s="18">
        <f>=J8*L8</f>
        <v>932400</v>
      </c>
      <c r="N8" s="18">
        <f>=2000*K8</f>
        <v>224000</v>
      </c>
      <c r="O8" s="18">
        <f>=M8+N8</f>
        <v>1156400</v>
      </c>
    </row>
    <row r="9" spans="1:15" ht="15.6">
      <c r="A9" s="14">
        <v>2</v>
      </c>
      <c r="B9" s="15" t="s">
        <v>20</v>
      </c>
      <c r="C9" s="16">
        <f>=E9-D9</f>
        <v>39</v>
      </c>
      <c r="D9" s="16">
        <v>43</v>
      </c>
      <c r="E9" s="16">
        <v>82</v>
      </c>
      <c r="F9" s="16">
        <v>71</v>
      </c>
      <c r="G9" s="16">
        <v>11</v>
      </c>
      <c r="H9" s="16">
        <v>76</v>
      </c>
      <c r="I9" s="16">
        <v>12</v>
      </c>
      <c r="J9" s="17">
        <f>=E9+F9+G9+H9+I9</f>
        <v>252</v>
      </c>
      <c r="K9" s="17">
        <v>114</v>
      </c>
      <c r="L9" s="18">
        <v>4000</v>
      </c>
      <c r="M9" s="18">
        <f>=J9*L9</f>
        <v>1008000</v>
      </c>
      <c r="N9" s="18">
        <f>=2000*K9</f>
        <v>228000</v>
      </c>
      <c r="O9" s="18">
        <f>=M9+N9</f>
        <v>1236000</v>
      </c>
    </row>
    <row r="10" spans="1:15" ht="15.6">
      <c r="A10" s="14">
        <v>3</v>
      </c>
      <c r="B10" s="15" t="s">
        <v>21</v>
      </c>
      <c r="C10" s="16">
        <f>=E10-D10</f>
        <v>39</v>
      </c>
      <c r="D10" s="16">
        <v>43</v>
      </c>
      <c r="E10" s="16">
        <v>82</v>
      </c>
      <c r="F10" s="16">
        <v>71</v>
      </c>
      <c r="G10" s="16">
        <v>11</v>
      </c>
      <c r="H10" s="16">
        <v>78</v>
      </c>
      <c r="I10" s="16">
        <v>5</v>
      </c>
      <c r="J10" s="17">
        <f>=E10+F10+G10+H10+I10</f>
        <v>247</v>
      </c>
      <c r="K10" s="17">
        <v>114</v>
      </c>
      <c r="L10" s="18">
        <v>4000</v>
      </c>
      <c r="M10" s="18">
        <f>=J10*L10</f>
        <v>988000</v>
      </c>
      <c r="N10" s="18">
        <f>=2000*K10</f>
        <v>228000</v>
      </c>
      <c r="O10" s="18">
        <f>=M10+N10</f>
        <v>1216000</v>
      </c>
    </row>
    <row r="11" spans="1:15" ht="15.6">
      <c r="A11" s="14">
        <v>4</v>
      </c>
      <c r="B11" s="15" t="s">
        <v>20</v>
      </c>
      <c r="C11" s="16">
        <f>=E11-D11</f>
        <v>39</v>
      </c>
      <c r="D11" s="16">
        <v>43</v>
      </c>
      <c r="E11" s="16">
        <v>82</v>
      </c>
      <c r="F11" s="16">
        <v>71</v>
      </c>
      <c r="G11" s="16">
        <v>11</v>
      </c>
      <c r="H11" s="16">
        <v>76</v>
      </c>
      <c r="I11" s="16">
        <v>12</v>
      </c>
      <c r="J11" s="17">
        <f>=E11+F11+G11+H11+I11</f>
        <v>252</v>
      </c>
      <c r="K11" s="17">
        <v>114</v>
      </c>
      <c r="L11" s="18">
        <v>4000</v>
      </c>
      <c r="M11" s="18">
        <f>=J11*L11</f>
        <v>1008000</v>
      </c>
      <c r="N11" s="18">
        <f>=2000*K11</f>
        <v>228000</v>
      </c>
      <c r="O11" s="18">
        <f>=M11+N11</f>
        <v>1236000</v>
      </c>
    </row>
    <row r="12" spans="1:15" ht="15.6">
      <c r="A12" s="14">
        <v>5</v>
      </c>
      <c r="B12" s="15" t="s">
        <v>21</v>
      </c>
      <c r="C12" s="16">
        <f>=E12-D12</f>
        <v>39</v>
      </c>
      <c r="D12" s="16">
        <v>43</v>
      </c>
      <c r="E12" s="16">
        <v>82</v>
      </c>
      <c r="F12" s="16">
        <v>71</v>
      </c>
      <c r="G12" s="16">
        <v>11</v>
      </c>
      <c r="H12" s="16">
        <v>78</v>
      </c>
      <c r="I12" s="16">
        <v>5</v>
      </c>
      <c r="J12" s="17">
        <f>=E12+F12+G12+H12+I12</f>
        <v>247</v>
      </c>
      <c r="K12" s="17">
        <v>114</v>
      </c>
      <c r="L12" s="18">
        <v>4000</v>
      </c>
      <c r="M12" s="18">
        <f>=J12*L12</f>
        <v>988000</v>
      </c>
      <c r="N12" s="18">
        <f>=2000*K12</f>
        <v>228000</v>
      </c>
      <c r="O12" s="18">
        <f>=M12+N12</f>
        <v>1216000</v>
      </c>
    </row>
    <row r="13" spans="1:15" ht="15.6">
      <c r="A13" s="14">
        <v>6</v>
      </c>
      <c r="B13" s="15" t="s">
        <v>22</v>
      </c>
      <c r="C13" s="16">
        <f>=E13-D13</f>
        <v>39</v>
      </c>
      <c r="D13" s="16">
        <v>43</v>
      </c>
      <c r="E13" s="16">
        <v>82</v>
      </c>
      <c r="F13" s="16">
        <v>71</v>
      </c>
      <c r="G13" s="16">
        <v>7</v>
      </c>
      <c r="H13" s="16">
        <v>76</v>
      </c>
      <c r="I13" s="16">
        <v>7</v>
      </c>
      <c r="J13" s="17">
        <f>=E13+F13+G13+H13+I13</f>
        <v>243</v>
      </c>
      <c r="K13" s="17">
        <v>114</v>
      </c>
      <c r="L13" s="18">
        <v>4000</v>
      </c>
      <c r="M13" s="18">
        <f>=J13*L13</f>
        <v>972000</v>
      </c>
      <c r="N13" s="18">
        <f>=2000*K13</f>
        <v>228000</v>
      </c>
      <c r="O13" s="18">
        <f>=M13+N13</f>
        <v>1200000</v>
      </c>
    </row>
    <row r="14" spans="1:15" ht="15.6">
      <c r="A14" s="14">
        <v>7</v>
      </c>
      <c r="B14" s="15" t="s">
        <v>23</v>
      </c>
      <c r="C14" s="19">
        <f>=E14-D14</f>
        <v>59</v>
      </c>
      <c r="D14" s="19">
        <v>37</v>
      </c>
      <c r="E14" s="19">
        <v>96</v>
      </c>
      <c r="F14" s="19">
        <v>94</v>
      </c>
      <c r="G14" s="19" t="s"/>
      <c r="H14" s="19">
        <v>85</v>
      </c>
      <c r="I14" s="19" t="s"/>
      <c r="J14" s="20">
        <f>=E14+F14+G14+H14+I14</f>
        <v>275</v>
      </c>
      <c r="K14" s="20">
        <v>143</v>
      </c>
      <c r="L14" s="21">
        <v>4000</v>
      </c>
      <c r="M14" s="21">
        <f>=J14*L14</f>
        <v>1100000</v>
      </c>
      <c r="N14" s="21">
        <f>=2000*K14</f>
        <v>286000</v>
      </c>
      <c r="O14" s="21">
        <f>=M14+N14</f>
        <v>1386000</v>
      </c>
    </row>
    <row r="15" spans="1:15" ht="15.6">
      <c r="A15" s="14">
        <v>8</v>
      </c>
      <c r="B15" s="15" t="s">
        <v>24</v>
      </c>
      <c r="C15" s="22">
        <f>=E15-D15</f>
        <v>81</v>
      </c>
      <c r="D15" s="22">
        <v>39</v>
      </c>
      <c r="E15" s="22">
        <v>120</v>
      </c>
      <c r="F15" s="22">
        <v>122</v>
      </c>
      <c r="G15" s="22" t="s"/>
      <c r="H15" s="22">
        <v>79</v>
      </c>
      <c r="I15" s="22">
        <v>21</v>
      </c>
      <c r="J15" s="23">
        <f>=E15+F15+G15+H15+I15</f>
        <v>342</v>
      </c>
      <c r="K15" s="23">
        <v>196</v>
      </c>
      <c r="L15" s="24">
        <v>4000</v>
      </c>
      <c r="M15" s="24">
        <f>=J15*L15</f>
        <v>1368000</v>
      </c>
      <c r="N15" s="24">
        <f>=2000*K15</f>
        <v>392000</v>
      </c>
      <c r="O15" s="24">
        <f>=M15+N15</f>
        <v>1760000</v>
      </c>
    </row>
    <row r="16" spans="1:15" ht="15.6">
      <c r="A16" s="14">
        <v>9</v>
      </c>
      <c r="B16" s="15" t="s">
        <v>21</v>
      </c>
      <c r="C16" s="16">
        <f>=E16-D16</f>
        <v>39</v>
      </c>
      <c r="D16" s="16">
        <v>43</v>
      </c>
      <c r="E16" s="16">
        <v>82</v>
      </c>
      <c r="F16" s="16">
        <v>71</v>
      </c>
      <c r="G16" s="16">
        <v>11</v>
      </c>
      <c r="H16" s="16">
        <v>78</v>
      </c>
      <c r="I16" s="16">
        <v>5</v>
      </c>
      <c r="J16" s="17">
        <f>=E16+F16+G16+H16+I16</f>
        <v>247</v>
      </c>
      <c r="K16" s="17">
        <v>114</v>
      </c>
      <c r="L16" s="18">
        <v>4000</v>
      </c>
      <c r="M16" s="18">
        <f>=J16*L16</f>
        <v>988000</v>
      </c>
      <c r="N16" s="18">
        <f>=2000*K16</f>
        <v>228000</v>
      </c>
      <c r="O16" s="18">
        <f>=M16+N16</f>
        <v>1216000</v>
      </c>
    </row>
    <row r="17" spans="1:15" ht="15.6">
      <c r="A17" s="14">
        <v>10</v>
      </c>
      <c r="B17" s="15" t="s">
        <v>20</v>
      </c>
      <c r="C17" s="16">
        <f>=E17-D17</f>
        <v>39</v>
      </c>
      <c r="D17" s="16">
        <v>43</v>
      </c>
      <c r="E17" s="16">
        <v>82</v>
      </c>
      <c r="F17" s="16">
        <v>71</v>
      </c>
      <c r="G17" s="16">
        <v>11</v>
      </c>
      <c r="H17" s="16">
        <v>76</v>
      </c>
      <c r="I17" s="16">
        <v>12</v>
      </c>
      <c r="J17" s="17">
        <f>=E17+F17+G17+H17+I17</f>
        <v>252</v>
      </c>
      <c r="K17" s="17">
        <v>114</v>
      </c>
      <c r="L17" s="18">
        <v>4000</v>
      </c>
      <c r="M17" s="18">
        <f>=J17*L17</f>
        <v>1008000</v>
      </c>
      <c r="N17" s="18">
        <f>=2000*K17</f>
        <v>228000</v>
      </c>
      <c r="O17" s="18">
        <f>=M17+N17</f>
        <v>1236000</v>
      </c>
    </row>
    <row r="18" spans="1:15" ht="15.6">
      <c r="A18" s="14">
        <v>11</v>
      </c>
      <c r="B18" s="15" t="s">
        <v>21</v>
      </c>
      <c r="C18" s="16">
        <f>=E18-D18</f>
        <v>39</v>
      </c>
      <c r="D18" s="16">
        <v>43</v>
      </c>
      <c r="E18" s="16">
        <v>82</v>
      </c>
      <c r="F18" s="16">
        <v>71</v>
      </c>
      <c r="G18" s="16">
        <v>11</v>
      </c>
      <c r="H18" s="16">
        <v>78</v>
      </c>
      <c r="I18" s="16">
        <v>5</v>
      </c>
      <c r="J18" s="17">
        <f>=E18+F18+G18+H18+I18</f>
        <v>247</v>
      </c>
      <c r="K18" s="17">
        <v>114</v>
      </c>
      <c r="L18" s="18">
        <v>4000</v>
      </c>
      <c r="M18" s="18">
        <f>=J18*L18</f>
        <v>988000</v>
      </c>
      <c r="N18" s="18">
        <f>=2000*K18</f>
        <v>228000</v>
      </c>
      <c r="O18" s="18">
        <f>=M18+N18</f>
        <v>1216000</v>
      </c>
    </row>
    <row r="19" spans="1:15" ht="15.6">
      <c r="A19" s="14">
        <v>12</v>
      </c>
      <c r="B19" s="15" t="s">
        <v>20</v>
      </c>
      <c r="C19" s="16">
        <f>=E19-D19</f>
        <v>39</v>
      </c>
      <c r="D19" s="16">
        <v>43</v>
      </c>
      <c r="E19" s="16">
        <v>82</v>
      </c>
      <c r="F19" s="16">
        <v>71</v>
      </c>
      <c r="G19" s="16">
        <v>11</v>
      </c>
      <c r="H19" s="16">
        <v>76</v>
      </c>
      <c r="I19" s="16">
        <v>12</v>
      </c>
      <c r="J19" s="17">
        <f>=E19+F19+G19+H19+I19</f>
        <v>252</v>
      </c>
      <c r="K19" s="17">
        <v>114</v>
      </c>
      <c r="L19" s="18">
        <v>4000</v>
      </c>
      <c r="M19" s="18">
        <f>=J19*L19</f>
        <v>1008000</v>
      </c>
      <c r="N19" s="18">
        <f>=2000*K19</f>
        <v>228000</v>
      </c>
      <c r="O19" s="18">
        <f>=M19+N19</f>
        <v>1236000</v>
      </c>
    </row>
    <row r="20" spans="1:15" ht="15.6">
      <c r="A20" s="14">
        <v>13</v>
      </c>
      <c r="B20" s="15" t="s">
        <v>21</v>
      </c>
      <c r="C20" s="16">
        <f>=E20-D20</f>
        <v>39</v>
      </c>
      <c r="D20" s="16">
        <v>43</v>
      </c>
      <c r="E20" s="16">
        <v>82</v>
      </c>
      <c r="F20" s="16">
        <v>71</v>
      </c>
      <c r="G20" s="16">
        <v>11</v>
      </c>
      <c r="H20" s="16">
        <v>78</v>
      </c>
      <c r="I20" s="16">
        <v>5</v>
      </c>
      <c r="J20" s="17">
        <f>=E20+F20+G20+H20+I20</f>
        <v>247</v>
      </c>
      <c r="K20" s="17">
        <v>114</v>
      </c>
      <c r="L20" s="18">
        <v>4000</v>
      </c>
      <c r="M20" s="18">
        <f>=J20*L20</f>
        <v>988000</v>
      </c>
      <c r="N20" s="18">
        <f>=2000*K20</f>
        <v>228000</v>
      </c>
      <c r="O20" s="18">
        <f>=M20+N20</f>
        <v>1216000</v>
      </c>
    </row>
    <row r="21" spans="1:15" ht="15.6" hidden="true">
      <c r="A21" s="14">
        <v>14</v>
      </c>
      <c r="B21" s="15" t="s">
        <v>25</v>
      </c>
      <c r="C21" s="16">
        <f>=E21-D21</f>
        <v>39</v>
      </c>
      <c r="D21" s="16">
        <v>43</v>
      </c>
      <c r="E21" s="16">
        <v>82</v>
      </c>
      <c r="F21" s="16">
        <v>71</v>
      </c>
      <c r="G21" s="16">
        <v>11</v>
      </c>
      <c r="H21" s="16">
        <v>83</v>
      </c>
      <c r="I21" s="16">
        <v>5</v>
      </c>
      <c r="J21" s="17">
        <f>=E21+F21+G21+H21+I21</f>
        <v>252</v>
      </c>
      <c r="K21" s="17">
        <v>115</v>
      </c>
      <c r="L21" s="18">
        <v>4000</v>
      </c>
      <c r="M21" s="18">
        <f>=J21*L21</f>
        <v>1008000</v>
      </c>
      <c r="N21" s="18">
        <f>=2000*K21</f>
        <v>230000</v>
      </c>
      <c r="O21" s="18">
        <f>=M21+N21</f>
        <v>1238000</v>
      </c>
    </row>
    <row r="22" spans="1:15" ht="15.6">
      <c r="A22" s="14">
        <v>15</v>
      </c>
      <c r="B22" s="15" t="s">
        <v>26</v>
      </c>
      <c r="C22" s="16">
        <f>=E22-D22</f>
        <v>39</v>
      </c>
      <c r="D22" s="16">
        <v>43</v>
      </c>
      <c r="E22" s="16">
        <v>82</v>
      </c>
      <c r="F22" s="16">
        <v>71</v>
      </c>
      <c r="G22" s="16">
        <v>11</v>
      </c>
      <c r="H22" s="16">
        <v>78</v>
      </c>
      <c r="I22" s="16">
        <v>5</v>
      </c>
      <c r="J22" s="17">
        <f>=E22+F22+G22+H22+I22</f>
        <v>247</v>
      </c>
      <c r="K22" s="17">
        <v>115</v>
      </c>
      <c r="L22" s="18">
        <v>4000</v>
      </c>
      <c r="M22" s="18">
        <f>=J22*L22</f>
        <v>988000</v>
      </c>
      <c r="N22" s="18">
        <f>=2000*K22</f>
        <v>230000</v>
      </c>
      <c r="O22" s="18">
        <f>=M22+N22</f>
        <v>1218000</v>
      </c>
    </row>
    <row r="23" spans="1:15" ht="15.6">
      <c r="A23" s="14">
        <v>16</v>
      </c>
      <c r="B23" s="15" t="s">
        <v>21</v>
      </c>
      <c r="C23" s="16">
        <f>=E23-D23</f>
        <v>39</v>
      </c>
      <c r="D23" s="16">
        <v>43</v>
      </c>
      <c r="E23" s="16">
        <v>82</v>
      </c>
      <c r="F23" s="16">
        <v>71</v>
      </c>
      <c r="G23" s="16">
        <v>11</v>
      </c>
      <c r="H23" s="16">
        <v>78</v>
      </c>
      <c r="I23" s="16">
        <v>5</v>
      </c>
      <c r="J23" s="17">
        <f>=E23+F23+G23+H23+I23</f>
        <v>247</v>
      </c>
      <c r="K23" s="17">
        <v>114</v>
      </c>
      <c r="L23" s="18">
        <v>4000</v>
      </c>
      <c r="M23" s="18">
        <f>=J23*L23</f>
        <v>988000</v>
      </c>
      <c r="N23" s="18">
        <f>=2000*K23</f>
        <v>228000</v>
      </c>
      <c r="O23" s="18">
        <f>=M23+N23</f>
        <v>1216000</v>
      </c>
    </row>
    <row r="24" spans="1:15" ht="15.6">
      <c r="A24" s="14">
        <v>17</v>
      </c>
      <c r="B24" s="15" t="s">
        <v>20</v>
      </c>
      <c r="C24" s="16">
        <f>=E24-D24</f>
        <v>39</v>
      </c>
      <c r="D24" s="16">
        <v>43</v>
      </c>
      <c r="E24" s="16">
        <v>82</v>
      </c>
      <c r="F24" s="16">
        <v>71</v>
      </c>
      <c r="G24" s="16">
        <v>11</v>
      </c>
      <c r="H24" s="16">
        <v>76</v>
      </c>
      <c r="I24" s="16">
        <v>12</v>
      </c>
      <c r="J24" s="17">
        <f>=E24+F24+G24+H24+I24</f>
        <v>252</v>
      </c>
      <c r="K24" s="17">
        <v>114</v>
      </c>
      <c r="L24" s="18">
        <v>4000</v>
      </c>
      <c r="M24" s="18">
        <f>=J24*L24</f>
        <v>1008000</v>
      </c>
      <c r="N24" s="18">
        <f>=2000*K24</f>
        <v>228000</v>
      </c>
      <c r="O24" s="18">
        <f>=M24+N24</f>
        <v>1236000</v>
      </c>
    </row>
    <row r="25" spans="1:15" ht="15.6">
      <c r="A25" s="14">
        <v>18</v>
      </c>
      <c r="B25" s="15" t="s">
        <v>21</v>
      </c>
      <c r="C25" s="16">
        <f>=E25-D25</f>
        <v>39</v>
      </c>
      <c r="D25" s="16">
        <v>43</v>
      </c>
      <c r="E25" s="16">
        <v>82</v>
      </c>
      <c r="F25" s="16">
        <v>71</v>
      </c>
      <c r="G25" s="16">
        <v>11</v>
      </c>
      <c r="H25" s="16">
        <v>78</v>
      </c>
      <c r="I25" s="16">
        <v>5</v>
      </c>
      <c r="J25" s="17">
        <f>=E25+F25+G25+H25+I25</f>
        <v>247</v>
      </c>
      <c r="K25" s="17">
        <v>114</v>
      </c>
      <c r="L25" s="18">
        <v>4000</v>
      </c>
      <c r="M25" s="18">
        <f>=J25*L25</f>
        <v>988000</v>
      </c>
      <c r="N25" s="18">
        <f>=2000*K25</f>
        <v>228000</v>
      </c>
      <c r="O25" s="18">
        <f>=M25+N25</f>
        <v>1216000</v>
      </c>
    </row>
    <row r="26" spans="1:15" ht="15.6">
      <c r="A26" s="14">
        <v>19</v>
      </c>
      <c r="B26" s="15" t="s">
        <v>20</v>
      </c>
      <c r="C26" s="16">
        <f>=E26-D26</f>
        <v>39</v>
      </c>
      <c r="D26" s="16">
        <v>43</v>
      </c>
      <c r="E26" s="16">
        <v>82</v>
      </c>
      <c r="F26" s="16">
        <v>71</v>
      </c>
      <c r="G26" s="16">
        <v>11</v>
      </c>
      <c r="H26" s="16">
        <v>76</v>
      </c>
      <c r="I26" s="16">
        <v>12</v>
      </c>
      <c r="J26" s="17">
        <f>=E26+F26+G26+H26+I26</f>
        <v>252</v>
      </c>
      <c r="K26" s="17">
        <v>114</v>
      </c>
      <c r="L26" s="18">
        <v>4000</v>
      </c>
      <c r="M26" s="18">
        <f>=J26*L26</f>
        <v>1008000</v>
      </c>
      <c r="N26" s="18">
        <f>=2000*K26</f>
        <v>228000</v>
      </c>
      <c r="O26" s="18">
        <f>=M26+N26</f>
        <v>1236000</v>
      </c>
    </row>
    <row r="27" spans="1:15" ht="15.6">
      <c r="A27" s="14">
        <v>20</v>
      </c>
      <c r="B27" s="15" t="s">
        <v>27</v>
      </c>
      <c r="C27" s="22">
        <f>=E27-D27</f>
        <v>84</v>
      </c>
      <c r="D27" s="22">
        <v>39</v>
      </c>
      <c r="E27" s="22">
        <v>123</v>
      </c>
      <c r="F27" s="22">
        <v>117</v>
      </c>
      <c r="G27" s="22">
        <v>4</v>
      </c>
      <c r="H27" s="22">
        <v>53</v>
      </c>
      <c r="I27" s="22">
        <v>57</v>
      </c>
      <c r="J27" s="23">
        <f>=E27+F27+G27+H27+I27</f>
        <v>354</v>
      </c>
      <c r="K27" s="23">
        <v>154</v>
      </c>
      <c r="L27" s="24">
        <v>4000</v>
      </c>
      <c r="M27" s="24">
        <f>=J27*L27</f>
        <v>1416000</v>
      </c>
      <c r="N27" s="24">
        <f>=2000*K27</f>
        <v>308000</v>
      </c>
      <c r="O27" s="24">
        <f>=M27+N27</f>
        <v>1724000</v>
      </c>
    </row>
    <row r="28" spans="1:15" ht="15.6">
      <c r="A28" s="14">
        <v>21</v>
      </c>
      <c r="B28" s="15" t="s">
        <v>28</v>
      </c>
      <c r="C28" s="22">
        <f>=E28-D28</f>
        <v>47</v>
      </c>
      <c r="D28" s="22">
        <v>25</v>
      </c>
      <c r="E28" s="22">
        <v>72</v>
      </c>
      <c r="F28" s="22">
        <v>66</v>
      </c>
      <c r="G28" s="22">
        <v>12</v>
      </c>
      <c r="H28" s="22">
        <v>76</v>
      </c>
      <c r="I28" s="22" t="s"/>
      <c r="J28" s="23">
        <f>=E28+F28+G28+H28+I28</f>
        <v>226</v>
      </c>
      <c r="K28" s="23">
        <v>284</v>
      </c>
      <c r="L28" s="24">
        <v>4000</v>
      </c>
      <c r="M28" s="24">
        <f>=J28*L28</f>
        <v>904000</v>
      </c>
      <c r="N28" s="24">
        <f>=2000*K28</f>
        <v>568000</v>
      </c>
      <c r="O28" s="24">
        <f>=M28+N28</f>
        <v>1472000</v>
      </c>
    </row>
    <row r="29" spans="1:15" ht="15.6">
      <c r="A29" s="14">
        <v>22</v>
      </c>
      <c r="B29" s="15" t="s">
        <v>29</v>
      </c>
      <c r="C29" s="16">
        <f>=E29-D29</f>
        <v>22</v>
      </c>
      <c r="D29" s="16">
        <v>44</v>
      </c>
      <c r="E29" s="16">
        <v>66</v>
      </c>
      <c r="F29" s="16">
        <v>62</v>
      </c>
      <c r="G29" s="16">
        <v>5</v>
      </c>
      <c r="H29" s="16">
        <v>67</v>
      </c>
      <c r="I29" s="16" t="s"/>
      <c r="J29" s="17">
        <f>=E29+F29+G29+H29+I29</f>
        <v>200</v>
      </c>
      <c r="K29" s="17">
        <v>137</v>
      </c>
      <c r="L29" s="18">
        <v>4000</v>
      </c>
      <c r="M29" s="18">
        <f>=J29*L29</f>
        <v>800000</v>
      </c>
      <c r="N29" s="18">
        <f>=2000*K29</f>
        <v>274000</v>
      </c>
      <c r="O29" s="18">
        <f>=M29+N29</f>
        <v>1074000</v>
      </c>
    </row>
    <row r="30" spans="1:15" ht="15.6">
      <c r="A30" s="14">
        <v>23</v>
      </c>
      <c r="B30" s="15" t="s">
        <v>30</v>
      </c>
      <c r="C30" s="16">
        <f>=E30-D30</f>
        <v>25</v>
      </c>
      <c r="D30" s="16">
        <v>45</v>
      </c>
      <c r="E30" s="16">
        <v>70</v>
      </c>
      <c r="F30" s="16">
        <v>64</v>
      </c>
      <c r="G30" s="16">
        <v>3</v>
      </c>
      <c r="H30" s="16">
        <v>73</v>
      </c>
      <c r="I30" s="16" t="s"/>
      <c r="J30" s="17">
        <f>=E30+F30+G30+H30+I30</f>
        <v>210</v>
      </c>
      <c r="K30" s="17">
        <v>123</v>
      </c>
      <c r="L30" s="18">
        <v>4000</v>
      </c>
      <c r="M30" s="18">
        <f>=J30*L30</f>
        <v>840000</v>
      </c>
      <c r="N30" s="18">
        <f>=2000*K30</f>
        <v>246000</v>
      </c>
      <c r="O30" s="18">
        <f>=M30+N30</f>
        <v>1086000</v>
      </c>
    </row>
    <row r="31" spans="1:15" ht="15.6">
      <c r="A31" s="14">
        <v>24</v>
      </c>
      <c r="B31" s="15" t="s">
        <v>31</v>
      </c>
      <c r="C31" s="16">
        <f>=E31-D31</f>
        <v>40</v>
      </c>
      <c r="D31" s="16">
        <v>43</v>
      </c>
      <c r="E31" s="16">
        <v>83</v>
      </c>
      <c r="F31" s="16">
        <v>71</v>
      </c>
      <c r="G31" s="16">
        <v>10</v>
      </c>
      <c r="H31" s="16">
        <v>79</v>
      </c>
      <c r="I31" s="16">
        <v>5</v>
      </c>
      <c r="J31" s="17">
        <f>=E31+F31+G31+H31+I31</f>
        <v>248</v>
      </c>
      <c r="K31" s="17">
        <v>123</v>
      </c>
      <c r="L31" s="18">
        <v>4000</v>
      </c>
      <c r="M31" s="18">
        <f>=J31*L31</f>
        <v>992000</v>
      </c>
      <c r="N31" s="18">
        <f>=2000*K31</f>
        <v>246000</v>
      </c>
      <c r="O31" s="18">
        <f>=M31+N31</f>
        <v>1238000</v>
      </c>
    </row>
    <row r="32" spans="1:15" ht="15.6">
      <c r="A32" s="14">
        <v>25</v>
      </c>
      <c r="B32" s="15" t="s">
        <v>32</v>
      </c>
      <c r="C32" s="27">
        <f>=E32-D32</f>
        <v>58</v>
      </c>
      <c r="D32" s="27">
        <v>43</v>
      </c>
      <c r="E32" s="27">
        <v>101</v>
      </c>
      <c r="F32" s="27">
        <v>83</v>
      </c>
      <c r="G32" s="27">
        <v>17</v>
      </c>
      <c r="H32" s="27">
        <v>78</v>
      </c>
      <c r="I32" s="27">
        <v>17</v>
      </c>
      <c r="J32" s="28">
        <f>=E32+F32+G32+H32+I32</f>
        <v>296</v>
      </c>
      <c r="K32" s="28">
        <v>133</v>
      </c>
      <c r="L32" s="29">
        <v>4000</v>
      </c>
      <c r="M32" s="29">
        <f>=J32*L32</f>
        <v>1184000</v>
      </c>
      <c r="N32" s="29">
        <f>=2000*K32</f>
        <v>266000</v>
      </c>
      <c r="O32" s="29">
        <f>=M32+N32</f>
        <v>1450000</v>
      </c>
    </row>
    <row r="33" spans="1:15" ht="15.6">
      <c r="A33" s="14">
        <v>26</v>
      </c>
      <c r="B33" s="15" t="s">
        <v>33</v>
      </c>
      <c r="C33" s="27">
        <f>=E33-D33</f>
        <v>58</v>
      </c>
      <c r="D33" s="27">
        <v>43</v>
      </c>
      <c r="E33" s="27">
        <v>101</v>
      </c>
      <c r="F33" s="27">
        <v>87</v>
      </c>
      <c r="G33" s="27">
        <v>13</v>
      </c>
      <c r="H33" s="27">
        <v>78</v>
      </c>
      <c r="I33" s="27">
        <v>17</v>
      </c>
      <c r="J33" s="28">
        <f>=E33+F33+G33+H33+I33</f>
        <v>296</v>
      </c>
      <c r="K33" s="28">
        <v>133</v>
      </c>
      <c r="L33" s="29">
        <v>4000</v>
      </c>
      <c r="M33" s="29">
        <f>=J33*L33</f>
        <v>1184000</v>
      </c>
      <c r="N33" s="29">
        <f>=2000*K33</f>
        <v>266000</v>
      </c>
      <c r="O33" s="29">
        <f>=M33+N33</f>
        <v>1450000</v>
      </c>
    </row>
    <row r="34" spans="1:15" ht="15.6">
      <c r="A34" s="14">
        <v>27</v>
      </c>
      <c r="B34" s="15" t="s">
        <v>32</v>
      </c>
      <c r="C34" s="27">
        <f>=E34-D34</f>
        <v>58</v>
      </c>
      <c r="D34" s="27">
        <v>43</v>
      </c>
      <c r="E34" s="27">
        <v>101</v>
      </c>
      <c r="F34" s="27">
        <v>83</v>
      </c>
      <c r="G34" s="27">
        <v>17</v>
      </c>
      <c r="H34" s="27">
        <v>78</v>
      </c>
      <c r="I34" s="27">
        <v>17</v>
      </c>
      <c r="J34" s="28">
        <f>=E34+F34+G34+H34+I34</f>
        <v>296</v>
      </c>
      <c r="K34" s="28">
        <v>133</v>
      </c>
      <c r="L34" s="29">
        <v>4000</v>
      </c>
      <c r="M34" s="29">
        <f>=J34*L34</f>
        <v>1184000</v>
      </c>
      <c r="N34" s="29">
        <f>=2000*K34</f>
        <v>266000</v>
      </c>
      <c r="O34" s="29">
        <f>=M34+N34</f>
        <v>1450000</v>
      </c>
    </row>
    <row r="35" spans="1:15" ht="15.6">
      <c r="A35" s="14">
        <v>28</v>
      </c>
      <c r="B35" s="15" t="s">
        <v>34</v>
      </c>
      <c r="C35" s="27">
        <f>=E35-D35</f>
        <v>58</v>
      </c>
      <c r="D35" s="27">
        <v>43</v>
      </c>
      <c r="E35" s="27">
        <v>101</v>
      </c>
      <c r="F35" s="27">
        <v>87</v>
      </c>
      <c r="G35" s="27">
        <v>13</v>
      </c>
      <c r="H35" s="27">
        <v>78</v>
      </c>
      <c r="I35" s="27">
        <v>17</v>
      </c>
      <c r="J35" s="28">
        <f>=E35+F35+G35+H35+I35</f>
        <v>296</v>
      </c>
      <c r="K35" s="28">
        <v>133</v>
      </c>
      <c r="L35" s="29">
        <v>4000</v>
      </c>
      <c r="M35" s="29">
        <f>=J35*L35</f>
        <v>1184000</v>
      </c>
      <c r="N35" s="29">
        <f>=2000*K35</f>
        <v>266000</v>
      </c>
      <c r="O35" s="29">
        <f>=M35+N35</f>
        <v>1450000</v>
      </c>
    </row>
    <row r="36" spans="1:15" ht="15.6">
      <c r="A36" s="14">
        <v>29</v>
      </c>
      <c r="B36" s="15" t="s">
        <v>35</v>
      </c>
      <c r="C36" s="22">
        <f>=E36-D36</f>
        <v>54</v>
      </c>
      <c r="D36" s="22">
        <v>39</v>
      </c>
      <c r="E36" s="22">
        <v>93</v>
      </c>
      <c r="F36" s="22">
        <v>85</v>
      </c>
      <c r="G36" s="22">
        <v>9</v>
      </c>
      <c r="H36" s="22">
        <v>85</v>
      </c>
      <c r="I36" s="22">
        <v>9</v>
      </c>
      <c r="J36" s="23">
        <f>=E36+F36+G36+H36+I36</f>
        <v>281</v>
      </c>
      <c r="K36" s="23">
        <v>126</v>
      </c>
      <c r="L36" s="24">
        <v>4000</v>
      </c>
      <c r="M36" s="24">
        <f>=J36*L36</f>
        <v>1124000</v>
      </c>
      <c r="N36" s="24">
        <f>=2000*K36</f>
        <v>252000</v>
      </c>
      <c r="O36" s="24">
        <f>=M36+N36</f>
        <v>1376000</v>
      </c>
    </row>
    <row r="37" spans="1:15" ht="15.6">
      <c r="A37" s="14">
        <v>30</v>
      </c>
      <c r="B37" s="15" t="s">
        <v>36</v>
      </c>
      <c r="C37" s="19">
        <v>71</v>
      </c>
      <c r="D37" s="19">
        <v>37</v>
      </c>
      <c r="E37" s="19">
        <f>=C37+D37</f>
        <v>108</v>
      </c>
      <c r="F37" s="19">
        <v>82</v>
      </c>
      <c r="G37" s="19">
        <v>11</v>
      </c>
      <c r="H37" s="19">
        <v>79</v>
      </c>
      <c r="I37" s="19">
        <v>4</v>
      </c>
      <c r="J37" s="20">
        <f>=E37+F37+G37+H37+I37</f>
        <v>284</v>
      </c>
      <c r="K37" s="20">
        <v>147</v>
      </c>
      <c r="L37" s="21">
        <v>3700</v>
      </c>
      <c r="M37" s="21">
        <f>=J37*L37</f>
        <v>1050800</v>
      </c>
      <c r="N37" s="21">
        <f>=2000*K37</f>
        <v>294000</v>
      </c>
      <c r="O37" s="21">
        <f>=M37+N37</f>
        <v>1344800</v>
      </c>
    </row>
    <row r="38" spans="1:15" ht="15.6">
      <c r="A38" s="14">
        <v>31</v>
      </c>
      <c r="B38" s="15" t="s">
        <v>20</v>
      </c>
      <c r="C38" s="16">
        <f>=E38-D38</f>
        <v>39</v>
      </c>
      <c r="D38" s="16">
        <v>43</v>
      </c>
      <c r="E38" s="16">
        <v>82</v>
      </c>
      <c r="F38" s="16">
        <v>71</v>
      </c>
      <c r="G38" s="16">
        <v>11</v>
      </c>
      <c r="H38" s="16">
        <v>76</v>
      </c>
      <c r="I38" s="16">
        <v>12</v>
      </c>
      <c r="J38" s="17">
        <f>=E38+F38+G38+H38+I38</f>
        <v>252</v>
      </c>
      <c r="K38" s="17">
        <v>114</v>
      </c>
      <c r="L38" s="18">
        <v>4000</v>
      </c>
      <c r="M38" s="18">
        <f>=J38*L38</f>
        <v>1008000</v>
      </c>
      <c r="N38" s="18">
        <f>=2000*K38</f>
        <v>228000</v>
      </c>
      <c r="O38" s="18">
        <f>=M38+N38</f>
        <v>1236000</v>
      </c>
    </row>
    <row r="39" spans="1:15" ht="15.6">
      <c r="A39" s="14">
        <v>32</v>
      </c>
      <c r="B39" s="15" t="s">
        <v>21</v>
      </c>
      <c r="C39" s="16">
        <f>=E39-D39</f>
        <v>39</v>
      </c>
      <c r="D39" s="16">
        <v>43</v>
      </c>
      <c r="E39" s="16">
        <v>82</v>
      </c>
      <c r="F39" s="16">
        <v>71</v>
      </c>
      <c r="G39" s="16">
        <v>11</v>
      </c>
      <c r="H39" s="16">
        <v>78</v>
      </c>
      <c r="I39" s="16">
        <v>5</v>
      </c>
      <c r="J39" s="17">
        <f>=E39+F39+G39+H39+I39</f>
        <v>247</v>
      </c>
      <c r="K39" s="17">
        <v>114</v>
      </c>
      <c r="L39" s="18">
        <v>4000</v>
      </c>
      <c r="M39" s="18">
        <f>=J39*L39</f>
        <v>988000</v>
      </c>
      <c r="N39" s="18">
        <f>=2000*K39</f>
        <v>228000</v>
      </c>
      <c r="O39" s="18">
        <f>=M39+N39</f>
        <v>1216000</v>
      </c>
    </row>
    <row r="40" spans="1:15" ht="15.6">
      <c r="A40" s="14">
        <v>33</v>
      </c>
      <c r="B40" s="15" t="s">
        <v>20</v>
      </c>
      <c r="C40" s="16">
        <f>=E40-D40</f>
        <v>39</v>
      </c>
      <c r="D40" s="16">
        <v>43</v>
      </c>
      <c r="E40" s="16">
        <v>82</v>
      </c>
      <c r="F40" s="16">
        <v>71</v>
      </c>
      <c r="G40" s="16">
        <v>11</v>
      </c>
      <c r="H40" s="16">
        <v>76</v>
      </c>
      <c r="I40" s="16">
        <v>12</v>
      </c>
      <c r="J40" s="17">
        <f>=E40+F40+G40+H40+I40</f>
        <v>252</v>
      </c>
      <c r="K40" s="17">
        <v>114</v>
      </c>
      <c r="L40" s="18">
        <v>4000</v>
      </c>
      <c r="M40" s="18">
        <f>=J40*L40</f>
        <v>1008000</v>
      </c>
      <c r="N40" s="18">
        <f>=2000*K40</f>
        <v>228000</v>
      </c>
      <c r="O40" s="18">
        <f>=M40+N40</f>
        <v>1236000</v>
      </c>
    </row>
    <row r="41" spans="1:15" ht="15.6">
      <c r="A41" s="14">
        <v>34</v>
      </c>
      <c r="B41" s="15" t="s">
        <v>37</v>
      </c>
      <c r="C41" s="19">
        <f>=E41-D41</f>
        <v>69</v>
      </c>
      <c r="D41" s="19">
        <v>40</v>
      </c>
      <c r="E41" s="19">
        <v>109</v>
      </c>
      <c r="F41" s="19">
        <v>91</v>
      </c>
      <c r="G41" s="19">
        <v>11</v>
      </c>
      <c r="H41" s="19">
        <v>81</v>
      </c>
      <c r="I41" s="19">
        <v>4</v>
      </c>
      <c r="J41" s="20">
        <f>=E41+F41+G41+H41+I41</f>
        <v>296</v>
      </c>
      <c r="K41" s="20">
        <v>147</v>
      </c>
      <c r="L41" s="21">
        <v>4000</v>
      </c>
      <c r="M41" s="21">
        <f>=J41*L41</f>
        <v>1184000</v>
      </c>
      <c r="N41" s="21">
        <f>=2000*K41</f>
        <v>294000</v>
      </c>
      <c r="O41" s="21">
        <f>=M41+N41</f>
        <v>1478000</v>
      </c>
    </row>
    <row r="42" spans="1:15" ht="15.6">
      <c r="A42" s="14">
        <v>35</v>
      </c>
      <c r="B42" s="15" t="s">
        <v>38</v>
      </c>
      <c r="C42" s="30">
        <f>=E42-D42</f>
        <v>26</v>
      </c>
      <c r="D42" s="30">
        <v>43</v>
      </c>
      <c r="E42" s="30">
        <v>69</v>
      </c>
      <c r="F42" s="30">
        <v>61</v>
      </c>
      <c r="G42" s="30">
        <v>7</v>
      </c>
      <c r="H42" s="30">
        <v>70</v>
      </c>
      <c r="I42" s="30">
        <v>2</v>
      </c>
      <c r="J42" s="31">
        <f>=E42+F42+G42+H42+I42</f>
        <v>209</v>
      </c>
      <c r="K42" s="31">
        <v>95</v>
      </c>
      <c r="L42" s="32">
        <v>4000</v>
      </c>
      <c r="M42" s="32">
        <f>=J42*L42</f>
        <v>836000</v>
      </c>
      <c r="N42" s="32">
        <f>=2000*K42</f>
        <v>190000</v>
      </c>
      <c r="O42" s="32">
        <f>=M42+N42</f>
        <v>1026000</v>
      </c>
    </row>
    <row r="43" spans="1:15" ht="15.6">
      <c r="A43" s="14">
        <v>36</v>
      </c>
      <c r="B43" s="15" t="s">
        <v>39</v>
      </c>
      <c r="C43" s="30">
        <f>=E43-D43</f>
        <v>26</v>
      </c>
      <c r="D43" s="30">
        <v>43</v>
      </c>
      <c r="E43" s="30">
        <v>69</v>
      </c>
      <c r="F43" s="30">
        <v>60</v>
      </c>
      <c r="G43" s="30">
        <v>7</v>
      </c>
      <c r="H43" s="30">
        <v>70</v>
      </c>
      <c r="I43" s="30">
        <v>2</v>
      </c>
      <c r="J43" s="31">
        <f>=E43+F43+G43+H43+I43</f>
        <v>208</v>
      </c>
      <c r="K43" s="31">
        <v>95</v>
      </c>
      <c r="L43" s="32">
        <v>4000</v>
      </c>
      <c r="M43" s="32">
        <f>=J43*L43</f>
        <v>832000</v>
      </c>
      <c r="N43" s="32">
        <f>=2000*K43</f>
        <v>190000</v>
      </c>
      <c r="O43" s="32">
        <f>=M43+N43</f>
        <v>1022000</v>
      </c>
    </row>
    <row r="44" spans="1:15" ht="15.6">
      <c r="A44" s="14">
        <v>37</v>
      </c>
      <c r="B44" s="15" t="s">
        <v>39</v>
      </c>
      <c r="C44" s="30">
        <f>=E44-D44</f>
        <v>26</v>
      </c>
      <c r="D44" s="30">
        <v>43</v>
      </c>
      <c r="E44" s="30">
        <v>69</v>
      </c>
      <c r="F44" s="30">
        <v>60</v>
      </c>
      <c r="G44" s="30">
        <v>7</v>
      </c>
      <c r="H44" s="30">
        <v>70</v>
      </c>
      <c r="I44" s="30">
        <v>2</v>
      </c>
      <c r="J44" s="31">
        <f>=E44+F44+G44+H44+I44</f>
        <v>208</v>
      </c>
      <c r="K44" s="31">
        <v>95</v>
      </c>
      <c r="L44" s="32">
        <v>4000</v>
      </c>
      <c r="M44" s="32">
        <f>=J44*L44</f>
        <v>832000</v>
      </c>
      <c r="N44" s="32">
        <f>=2000*K44</f>
        <v>190000</v>
      </c>
      <c r="O44" s="32">
        <f>=M44+N44</f>
        <v>1022000</v>
      </c>
    </row>
    <row r="45" spans="1:15" ht="15.6">
      <c r="A45" s="14">
        <v>38</v>
      </c>
      <c r="B45" s="15" t="s">
        <v>39</v>
      </c>
      <c r="C45" s="30">
        <f>=E45-D45</f>
        <v>26</v>
      </c>
      <c r="D45" s="30">
        <v>43</v>
      </c>
      <c r="E45" s="30">
        <v>69</v>
      </c>
      <c r="F45" s="30">
        <v>60</v>
      </c>
      <c r="G45" s="30">
        <v>7</v>
      </c>
      <c r="H45" s="30">
        <v>70</v>
      </c>
      <c r="I45" s="30">
        <v>2</v>
      </c>
      <c r="J45" s="31">
        <f>=E45+F45+G45+H45+I45</f>
        <v>208</v>
      </c>
      <c r="K45" s="31">
        <v>95</v>
      </c>
      <c r="L45" s="32">
        <v>4000</v>
      </c>
      <c r="M45" s="32">
        <f>=J45*L45</f>
        <v>832000</v>
      </c>
      <c r="N45" s="32">
        <f>=2000*K45</f>
        <v>190000</v>
      </c>
      <c r="O45" s="32">
        <f>=M45+N45</f>
        <v>1022000</v>
      </c>
    </row>
    <row r="46" spans="1:15" ht="15.6">
      <c r="A46" s="14">
        <v>39</v>
      </c>
      <c r="B46" s="15" t="s">
        <v>39</v>
      </c>
      <c r="C46" s="30">
        <f>=E46-D46</f>
        <v>26</v>
      </c>
      <c r="D46" s="30">
        <v>43</v>
      </c>
      <c r="E46" s="30">
        <v>69</v>
      </c>
      <c r="F46" s="30">
        <v>60</v>
      </c>
      <c r="G46" s="30">
        <v>7</v>
      </c>
      <c r="H46" s="30">
        <v>70</v>
      </c>
      <c r="I46" s="30">
        <v>2</v>
      </c>
      <c r="J46" s="31">
        <f>=E46+F46+G46+H46+I46</f>
        <v>208</v>
      </c>
      <c r="K46" s="31">
        <v>95</v>
      </c>
      <c r="L46" s="32">
        <v>4000</v>
      </c>
      <c r="M46" s="32">
        <f>=J46*L46</f>
        <v>832000</v>
      </c>
      <c r="N46" s="32">
        <f>=2000*K46</f>
        <v>190000</v>
      </c>
      <c r="O46" s="32">
        <f>=M46+N46</f>
        <v>1022000</v>
      </c>
    </row>
    <row r="47" spans="1:15" ht="15.6">
      <c r="A47" s="14">
        <v>40</v>
      </c>
      <c r="B47" s="15" t="s">
        <v>40</v>
      </c>
      <c r="C47" s="30">
        <f>=E47-D47</f>
        <v>26</v>
      </c>
      <c r="D47" s="30">
        <v>43</v>
      </c>
      <c r="E47" s="30">
        <v>69</v>
      </c>
      <c r="F47" s="30">
        <v>61</v>
      </c>
      <c r="G47" s="30">
        <v>7</v>
      </c>
      <c r="H47" s="30">
        <v>70</v>
      </c>
      <c r="I47" s="30">
        <v>2</v>
      </c>
      <c r="J47" s="31">
        <f>=E47+F47+G47+H47+I47</f>
        <v>209</v>
      </c>
      <c r="K47" s="31">
        <v>95</v>
      </c>
      <c r="L47" s="32">
        <v>4000</v>
      </c>
      <c r="M47" s="32">
        <f>=J47*L47</f>
        <v>836000</v>
      </c>
      <c r="N47" s="32">
        <f>=2000*K47</f>
        <v>190000</v>
      </c>
      <c r="O47" s="32">
        <f>=M47+N47</f>
        <v>1026000</v>
      </c>
    </row>
    <row r="48" spans="1:15" ht="15.6">
      <c r="A48" s="14">
        <v>41</v>
      </c>
      <c r="B48" s="15" t="s">
        <v>41</v>
      </c>
      <c r="C48" s="30">
        <f>=E48-D48</f>
        <v>26</v>
      </c>
      <c r="D48" s="30">
        <v>43</v>
      </c>
      <c r="E48" s="30">
        <v>69</v>
      </c>
      <c r="F48" s="30">
        <v>61</v>
      </c>
      <c r="G48" s="30">
        <v>9</v>
      </c>
      <c r="H48" s="30">
        <v>70</v>
      </c>
      <c r="I48" s="30">
        <v>2</v>
      </c>
      <c r="J48" s="31">
        <f>=E48+F48+G48+H48+I48</f>
        <v>211</v>
      </c>
      <c r="K48" s="31">
        <v>69</v>
      </c>
      <c r="L48" s="32">
        <v>4000</v>
      </c>
      <c r="M48" s="32">
        <f>=J48*L48</f>
        <v>844000</v>
      </c>
      <c r="N48" s="32">
        <f>=2000*K48</f>
        <v>138000</v>
      </c>
      <c r="O48" s="32">
        <f>=M48+N48</f>
        <v>982000</v>
      </c>
    </row>
    <row r="49" spans="1:15" ht="15.6">
      <c r="A49" s="14">
        <v>42</v>
      </c>
      <c r="B49" s="33" t="s">
        <v>42</v>
      </c>
      <c r="C49" s="30">
        <f>=E49-D49</f>
        <v>25</v>
      </c>
      <c r="D49" s="30">
        <v>43</v>
      </c>
      <c r="E49" s="30">
        <v>68</v>
      </c>
      <c r="F49" s="30">
        <v>60</v>
      </c>
      <c r="G49" s="30">
        <v>9</v>
      </c>
      <c r="H49" s="30">
        <v>70</v>
      </c>
      <c r="I49" s="30">
        <v>2</v>
      </c>
      <c r="J49" s="31">
        <f>=E49+F49+G49+H49+I49</f>
        <v>209</v>
      </c>
      <c r="K49" s="31">
        <v>87</v>
      </c>
      <c r="L49" s="32">
        <v>4000</v>
      </c>
      <c r="M49" s="32">
        <f>=J49*L49</f>
        <v>836000</v>
      </c>
      <c r="N49" s="32">
        <f>=2000*K49</f>
        <v>174000</v>
      </c>
      <c r="O49" s="32">
        <f>=M49+N49</f>
        <v>1010000</v>
      </c>
    </row>
    <row r="50" spans="1:15" ht="15.6">
      <c r="A50" s="14">
        <v>43</v>
      </c>
      <c r="B50" s="33" t="s">
        <v>42</v>
      </c>
      <c r="C50" s="30">
        <f>=E50-D50</f>
        <v>25</v>
      </c>
      <c r="D50" s="30">
        <v>43</v>
      </c>
      <c r="E50" s="30">
        <v>68</v>
      </c>
      <c r="F50" s="30">
        <v>60</v>
      </c>
      <c r="G50" s="30">
        <v>9</v>
      </c>
      <c r="H50" s="30">
        <v>70</v>
      </c>
      <c r="I50" s="30">
        <v>2</v>
      </c>
      <c r="J50" s="31">
        <f>=E50+F50+G50+H50+I50</f>
        <v>209</v>
      </c>
      <c r="K50" s="31">
        <v>90</v>
      </c>
      <c r="L50" s="32">
        <v>4000</v>
      </c>
      <c r="M50" s="32">
        <f>=J50*L50</f>
        <v>836000</v>
      </c>
      <c r="N50" s="32">
        <f>=2000*K50</f>
        <v>180000</v>
      </c>
      <c r="O50" s="32">
        <f>=M50+N50</f>
        <v>1016000</v>
      </c>
    </row>
    <row r="51" spans="1:15" ht="15.6">
      <c r="A51" s="14">
        <v>44</v>
      </c>
      <c r="B51" s="33" t="s">
        <v>42</v>
      </c>
      <c r="C51" s="30">
        <f>=E51-D51</f>
        <v>25</v>
      </c>
      <c r="D51" s="30">
        <v>43</v>
      </c>
      <c r="E51" s="30">
        <v>68</v>
      </c>
      <c r="F51" s="30">
        <v>60</v>
      </c>
      <c r="G51" s="30">
        <v>9</v>
      </c>
      <c r="H51" s="30">
        <v>70</v>
      </c>
      <c r="I51" s="30">
        <v>2</v>
      </c>
      <c r="J51" s="31">
        <f>=E51+F51+G51+H51+I51</f>
        <v>209</v>
      </c>
      <c r="K51" s="31">
        <v>94</v>
      </c>
      <c r="L51" s="32">
        <v>4000</v>
      </c>
      <c r="M51" s="32">
        <f>=J51*L51</f>
        <v>836000</v>
      </c>
      <c r="N51" s="32">
        <f>=2000*K51</f>
        <v>188000</v>
      </c>
      <c r="O51" s="32">
        <f>=M51+N51</f>
        <v>1024000</v>
      </c>
    </row>
    <row r="52" spans="1:15" ht="15.6">
      <c r="A52" s="14">
        <v>45</v>
      </c>
      <c r="B52" s="33" t="s">
        <v>42</v>
      </c>
      <c r="C52" s="30">
        <f>=E52-D52</f>
        <v>25</v>
      </c>
      <c r="D52" s="30">
        <v>43</v>
      </c>
      <c r="E52" s="30">
        <v>68</v>
      </c>
      <c r="F52" s="30">
        <v>60</v>
      </c>
      <c r="G52" s="30">
        <v>9</v>
      </c>
      <c r="H52" s="30">
        <v>70</v>
      </c>
      <c r="I52" s="30">
        <v>2</v>
      </c>
      <c r="J52" s="31">
        <f>=E52+F52+G52+H52+I52</f>
        <v>209</v>
      </c>
      <c r="K52" s="31">
        <v>97</v>
      </c>
      <c r="L52" s="32">
        <v>4000</v>
      </c>
      <c r="M52" s="32">
        <f>=J52*L52</f>
        <v>836000</v>
      </c>
      <c r="N52" s="32">
        <f>=2000*K52</f>
        <v>194000</v>
      </c>
      <c r="O52" s="32">
        <f>=M52+N52</f>
        <v>1030000</v>
      </c>
    </row>
    <row r="53" spans="1:15" ht="15.6">
      <c r="A53" s="14">
        <v>46</v>
      </c>
      <c r="B53" s="33" t="s">
        <v>42</v>
      </c>
      <c r="C53" s="30">
        <f>=E53-D53</f>
        <v>25</v>
      </c>
      <c r="D53" s="30">
        <v>43</v>
      </c>
      <c r="E53" s="30">
        <v>68</v>
      </c>
      <c r="F53" s="30">
        <v>60</v>
      </c>
      <c r="G53" s="30">
        <v>9</v>
      </c>
      <c r="H53" s="30">
        <v>70</v>
      </c>
      <c r="I53" s="30">
        <v>2</v>
      </c>
      <c r="J53" s="31">
        <f>=E53+F53+G53+H53+I53</f>
        <v>209</v>
      </c>
      <c r="K53" s="31">
        <v>100</v>
      </c>
      <c r="L53" s="32">
        <v>4000</v>
      </c>
      <c r="M53" s="32">
        <f>=J53*L53</f>
        <v>836000</v>
      </c>
      <c r="N53" s="32">
        <f>=2000*K53</f>
        <v>200000</v>
      </c>
      <c r="O53" s="32">
        <f>=M53+N53</f>
        <v>1036000</v>
      </c>
    </row>
    <row r="54" spans="1:15" ht="15.6">
      <c r="A54" s="34">
        <v>47</v>
      </c>
      <c r="B54" s="35" t="s">
        <v>43</v>
      </c>
      <c r="C54" s="36">
        <f>=E54-D54</f>
        <v>77</v>
      </c>
      <c r="D54" s="36">
        <v>40</v>
      </c>
      <c r="E54" s="36">
        <v>117</v>
      </c>
      <c r="F54" s="36">
        <v>99</v>
      </c>
      <c r="G54" s="36">
        <v>12</v>
      </c>
      <c r="H54" s="36">
        <v>90</v>
      </c>
      <c r="I54" s="36">
        <v>3</v>
      </c>
      <c r="J54" s="37">
        <f>=E54+F54+G54+H54+I54</f>
        <v>321</v>
      </c>
      <c r="K54" s="37">
        <v>169</v>
      </c>
      <c r="L54" s="38">
        <v>4000</v>
      </c>
      <c r="M54" s="38">
        <f>=J54*L54</f>
        <v>1284000</v>
      </c>
      <c r="N54" s="38">
        <f>=2000*K54</f>
        <v>338000</v>
      </c>
      <c r="O54" s="38">
        <f>=M54+N54</f>
        <v>1622000</v>
      </c>
    </row>
    <row r="55" spans="3:15">
      <c r="C55" s="39">
        <f>=SUM(C8:C54)</f>
        <v>1948</v>
      </c>
      <c r="D55" s="39">
        <f>=SUM(D8:D54)</f>
        <v>1976</v>
      </c>
      <c r="E55" s="39">
        <f>=SUM(E8:E54)</f>
        <v>3924</v>
      </c>
      <c r="F55" s="39">
        <f>=SUM(F8:F54)</f>
        <v>3436</v>
      </c>
      <c r="G55" s="39">
        <f>=SUM(G8:G54)</f>
        <v>449</v>
      </c>
      <c r="H55" s="39">
        <f>=SUM(H8:H54)</f>
        <v>3550</v>
      </c>
      <c r="I55" s="39">
        <f>=SUM(I8:I54)</f>
        <v>354</v>
      </c>
      <c r="J55" s="39">
        <f>=SUM(J8:J54)</f>
        <v>11713</v>
      </c>
      <c r="K55" s="39">
        <f>=SUM(K8:K54)</f>
        <v>5668</v>
      </c>
      <c r="L55" s="40" t="s"/>
      <c r="M55" s="40">
        <f>=SUM(M8:M54)</f>
        <v>46691200</v>
      </c>
      <c r="N55" s="40">
        <f>=SUM(N8:N54)</f>
        <v>11336000</v>
      </c>
      <c r="O55" s="40">
        <f>=SUM(O8:O54)</f>
        <v>58027200</v>
      </c>
    </row>
    <row r="56" spans="3:15">
      <c r="C56" s="41">
        <f>=C55/47</f>
        <v>41.4468085106383</v>
      </c>
      <c r="D56" s="41">
        <f>=D55/47</f>
        <v>42.0425531914894</v>
      </c>
      <c r="E56" s="41">
        <f>=E55/47</f>
        <v>83.4893617021277</v>
      </c>
      <c r="F56" s="41">
        <f>=F55/47</f>
        <v>73.1063829787234</v>
      </c>
      <c r="G56" s="41">
        <f>=G55/47</f>
        <v>9.5531914893617</v>
      </c>
      <c r="H56" s="41">
        <f>=H55/47</f>
        <v>75.531914893617</v>
      </c>
      <c r="I56" s="41">
        <f>=I55/47</f>
        <v>7.53191489361702</v>
      </c>
      <c r="J56" s="41">
        <f>=J55/47</f>
        <v>249.212765957447</v>
      </c>
      <c r="K56" s="41">
        <f>=K55/47</f>
        <v>120.595744680851</v>
      </c>
      <c r="L56" s="42" t="s"/>
      <c r="M56" s="42">
        <f>=M55/47</f>
        <v>993429.787234043</v>
      </c>
      <c r="N56" s="42">
        <f>=N55/47</f>
        <v>241191.489361702</v>
      </c>
      <c r="O56" s="42">
        <f>=O55/47</f>
        <v>1234621.27659575</v>
      </c>
    </row>
    <row r="57" spans="4:5">
      <c r="D57" s="43" t="s">
        <v>48</v>
      </c>
      <c r="E57">
        <f>=E55/11600</f>
        <v>0.338275862068966</v>
      </c>
    </row>
  </sheetData>
  <mergeCells count="2">
    <mergeCell ref="A1:K1"/>
    <mergeCell ref="A4:K4"/>
  </mergeCells>
</worksheet>
</file>

<file path=xl/worksheets/sheet3.xml><?xml version="1.0" encoding="utf-8"?>
<worksheet xmlns="http://schemas.openxmlformats.org/spreadsheetml/2006/main">
  <sheetPr codeName="A">
    <tabColor rgb="FFFFFFFF"/>
  </sheetPr>
  <dimension ref="A1"/>
  <sheetViews>
    <sheetView showGridLines="true" workbookViewId="0"/>
  </sheetViews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2026-08-17T11:58:19Z</dcterms:created>
  <dcterms:modified xsi:type="dcterms:W3CDTF">2026-08-17T11:58:19Z</dcterms:modified>
</cp:coreProperties>
</file>