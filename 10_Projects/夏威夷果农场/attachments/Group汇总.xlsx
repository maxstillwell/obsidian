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c0679e24ca5384/Working/2026/产业规划/"/>
    </mc:Choice>
  </mc:AlternateContent>
  <xr:revisionPtr revIDLastSave="0" documentId="8_{9D5EDDEA-D419-4B0A-AB06-2A15BB402EDE}" xr6:coauthVersionLast="47" xr6:coauthVersionMax="47" xr10:uidLastSave="{00000000-0000-0000-0000-000000000000}"/>
  <bookViews>
    <workbookView xWindow="-90" yWindow="-90" windowWidth="19380" windowHeight="10260" xr2:uid="{C153EB57-221E-417F-ADA4-1A8C2C6F763B}"/>
  </bookViews>
  <sheets>
    <sheet name="汇总" sheetId="1" r:id="rId1"/>
    <sheet name="ZL昆州农场" sheetId="2" r:id="rId2"/>
    <sheet name="DM新州老农场" sheetId="3" r:id="rId3"/>
  </sheets>
  <definedNames>
    <definedName name="price">汇总!$C$3</definedName>
    <definedName name="price_zl">ZL昆州农场!$B$4</definedName>
    <definedName name="价格">DM新州老农场!$B$5</definedName>
    <definedName name="每倾费用">ZL昆州农场!$B$5</definedName>
    <definedName name="种植面积_H">ZL昆州农场!$B$2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E10" i="1"/>
  <c r="D9" i="1"/>
  <c r="K8" i="1"/>
  <c r="I8" i="1"/>
  <c r="G8" i="1"/>
  <c r="E8" i="1"/>
  <c r="J8" i="1"/>
  <c r="H8" i="1"/>
  <c r="F8" i="1"/>
  <c r="D8" i="1"/>
  <c r="J7" i="1"/>
  <c r="H7" i="1"/>
  <c r="F7" i="1"/>
  <c r="E7" i="1"/>
  <c r="D7" i="1"/>
  <c r="B5" i="3"/>
  <c r="D8" i="2"/>
  <c r="E8" i="2"/>
  <c r="F8" i="2"/>
  <c r="G8" i="2"/>
  <c r="H8" i="2"/>
  <c r="D7" i="2"/>
  <c r="B4" i="2"/>
  <c r="H7" i="2" s="1"/>
  <c r="H9" i="2" s="1"/>
  <c r="E7" i="2" l="1"/>
  <c r="E9" i="2" s="1"/>
  <c r="G7" i="1" s="1"/>
  <c r="G10" i="1" s="1"/>
  <c r="D9" i="2"/>
  <c r="G7" i="2"/>
  <c r="G9" i="2" s="1"/>
  <c r="K7" i="1" s="1"/>
  <c r="K10" i="1" s="1"/>
  <c r="F7" i="2"/>
  <c r="F9" i="2" s="1"/>
  <c r="I7" i="1" s="1"/>
  <c r="I10" i="1" s="1"/>
</calcChain>
</file>

<file path=xl/sharedStrings.xml><?xml version="1.0" encoding="utf-8"?>
<sst xmlns="http://schemas.openxmlformats.org/spreadsheetml/2006/main" count="38" uniqueCount="20">
  <si>
    <t>产量</t>
    <phoneticPr fontId="2" type="noConversion"/>
  </si>
  <si>
    <t>坚果收购价</t>
    <phoneticPr fontId="2" type="noConversion"/>
  </si>
  <si>
    <t>平均出仁率</t>
    <phoneticPr fontId="2" type="noConversion"/>
  </si>
  <si>
    <t>价格</t>
    <phoneticPr fontId="2" type="noConversion"/>
  </si>
  <si>
    <t>收入</t>
    <phoneticPr fontId="2" type="noConversion"/>
  </si>
  <si>
    <t>费用</t>
    <phoneticPr fontId="2" type="noConversion"/>
  </si>
  <si>
    <t>种植面积（H）</t>
    <phoneticPr fontId="2" type="noConversion"/>
  </si>
  <si>
    <t>土地面积（H）</t>
    <phoneticPr fontId="2" type="noConversion"/>
  </si>
  <si>
    <t>可新种植面积（H）</t>
    <phoneticPr fontId="2" type="noConversion"/>
  </si>
  <si>
    <t>每倾费用</t>
    <phoneticPr fontId="2" type="noConversion"/>
  </si>
  <si>
    <t>利润</t>
    <phoneticPr fontId="2" type="noConversion"/>
  </si>
  <si>
    <t>数据来源于 管理方</t>
    <phoneticPr fontId="2" type="noConversion"/>
  </si>
  <si>
    <t>ZL昆州</t>
    <phoneticPr fontId="2" type="noConversion"/>
  </si>
  <si>
    <t>DM新州</t>
    <phoneticPr fontId="2" type="noConversion"/>
  </si>
  <si>
    <t>加工厂</t>
    <phoneticPr fontId="2" type="noConversion"/>
  </si>
  <si>
    <t>优质资产</t>
    <phoneticPr fontId="2" type="noConversion"/>
  </si>
  <si>
    <t>问题资产，1-2年内争取处置2个农场收回800-1000万资金</t>
    <phoneticPr fontId="2" type="noConversion"/>
  </si>
  <si>
    <t>资产价格待评估</t>
    <phoneticPr fontId="2" type="noConversion"/>
  </si>
  <si>
    <t>没有计算新买100公顷种植的投入及产出</t>
    <phoneticPr fontId="2" type="noConversion"/>
  </si>
  <si>
    <t>问题资产，1-2年内争取处置2个农场收回800-1000万资金，另LDR1有Rezoning的可能性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</si>
</sst>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9" fontId="0" fillId="0" borderId="0" xfId="0" applyNumberFormat="1">
      <alignment vertical="center"/>
    </xf>
    <xf numFmtId="43" fontId="0" fillId="0" borderId="0" xfId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>
      <alignment vertical="center"/>
    </xf>
    <xf numFmtId="43" fontId="0" fillId="0" borderId="1" xfId="1" applyFont="1" applyBorder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CB4A-742E-44C6-8D5F-EE4F2ACB5C7B}">
  <dimension ref="B3:L10"/>
  <sheetViews>
    <sheetView tabSelected="1" workbookViewId="0">
      <selection activeCell="G11" sqref="G11"/>
    </sheetView>
  </sheetViews>
  <sheetFormatPr defaultRowHeight="14.25" x14ac:dyDescent="0.65"/>
  <cols>
    <col min="2" max="2" width="16.4765625" customWidth="1"/>
    <col min="3" max="3" width="8.8671875" customWidth="1"/>
    <col min="4" max="4" width="7.6484375" customWidth="1"/>
    <col min="5" max="5" width="12.30078125" bestFit="1" customWidth="1"/>
    <col min="7" max="7" width="12.30078125" bestFit="1" customWidth="1"/>
    <col min="9" max="9" width="12.30078125" bestFit="1" customWidth="1"/>
    <col min="11" max="11" width="12.30078125" bestFit="1" customWidth="1"/>
  </cols>
  <sheetData>
    <row r="3" spans="2:12" x14ac:dyDescent="0.65">
      <c r="B3" t="s">
        <v>1</v>
      </c>
      <c r="C3">
        <v>4.2</v>
      </c>
    </row>
    <row r="5" spans="2:12" x14ac:dyDescent="0.65">
      <c r="C5" s="3"/>
      <c r="D5" s="4">
        <v>2027</v>
      </c>
      <c r="E5" s="4"/>
      <c r="F5" s="4">
        <v>2028</v>
      </c>
      <c r="G5" s="4"/>
      <c r="H5" s="4">
        <v>2029</v>
      </c>
      <c r="I5" s="4"/>
      <c r="J5" s="4">
        <v>2030</v>
      </c>
      <c r="K5" s="4"/>
    </row>
    <row r="6" spans="2:12" x14ac:dyDescent="0.65">
      <c r="B6" t="s">
        <v>17</v>
      </c>
      <c r="C6" s="3"/>
      <c r="D6" s="3" t="s">
        <v>0</v>
      </c>
      <c r="E6" s="3" t="s">
        <v>10</v>
      </c>
      <c r="F6" s="3" t="s">
        <v>0</v>
      </c>
      <c r="G6" s="3" t="s">
        <v>10</v>
      </c>
      <c r="H6" s="3" t="s">
        <v>0</v>
      </c>
      <c r="I6" s="3" t="s">
        <v>10</v>
      </c>
      <c r="J6" s="3" t="s">
        <v>0</v>
      </c>
      <c r="K6" s="3" t="s">
        <v>10</v>
      </c>
    </row>
    <row r="7" spans="2:12" x14ac:dyDescent="0.65">
      <c r="B7">
        <v>2200</v>
      </c>
      <c r="C7" s="3" t="s">
        <v>12</v>
      </c>
      <c r="D7" s="3">
        <f>ZL昆州农场!D6</f>
        <v>600</v>
      </c>
      <c r="E7" s="5">
        <f>ZL昆州农场!D9</f>
        <v>985000</v>
      </c>
      <c r="F7" s="3">
        <f>ZL昆州农场!E6</f>
        <v>800</v>
      </c>
      <c r="G7" s="5">
        <f>ZL昆州农场!E9</f>
        <v>2105000</v>
      </c>
      <c r="H7" s="3">
        <f>ZL昆州农场!F6</f>
        <v>800</v>
      </c>
      <c r="I7" s="5">
        <f>ZL昆州农场!F9</f>
        <v>2105000</v>
      </c>
      <c r="J7" s="3">
        <f>ZL昆州农场!G6</f>
        <v>800</v>
      </c>
      <c r="K7" s="5">
        <f>ZL昆州农场!G9</f>
        <v>2105000</v>
      </c>
      <c r="L7" t="s">
        <v>15</v>
      </c>
    </row>
    <row r="8" spans="2:12" x14ac:dyDescent="0.65">
      <c r="B8">
        <v>2200</v>
      </c>
      <c r="C8" s="3" t="s">
        <v>13</v>
      </c>
      <c r="D8" s="3">
        <f>DM新州老农场!D7</f>
        <v>550</v>
      </c>
      <c r="E8" s="5">
        <f>DM新州老农场!D10</f>
        <v>15000</v>
      </c>
      <c r="F8" s="3">
        <f>DM新州老农场!E7</f>
        <v>675</v>
      </c>
      <c r="G8" s="5">
        <f>DM新州老农场!E10</f>
        <v>420000</v>
      </c>
      <c r="H8" s="3">
        <f>DM新州老农场!F7</f>
        <v>825</v>
      </c>
      <c r="I8" s="5">
        <f>DM新州老农场!F10</f>
        <v>750000</v>
      </c>
      <c r="J8" s="3">
        <f>DM新州老农场!G7</f>
        <v>825</v>
      </c>
      <c r="K8" s="5">
        <f>DM新州老农场!G10</f>
        <v>450000</v>
      </c>
      <c r="L8" t="s">
        <v>16</v>
      </c>
    </row>
    <row r="9" spans="2:12" x14ac:dyDescent="0.65">
      <c r="B9">
        <v>500</v>
      </c>
      <c r="C9" s="3" t="s">
        <v>14</v>
      </c>
      <c r="D9" s="3">
        <f>SUM(D7:D8)</f>
        <v>1150</v>
      </c>
      <c r="E9" s="6">
        <v>1000000</v>
      </c>
      <c r="F9" s="3">
        <v>1500</v>
      </c>
      <c r="G9" s="6">
        <v>1900000</v>
      </c>
      <c r="H9" s="3">
        <v>1500</v>
      </c>
      <c r="I9" s="6">
        <v>1900000</v>
      </c>
      <c r="J9" s="3">
        <v>1500</v>
      </c>
      <c r="K9" s="6">
        <v>1900000</v>
      </c>
      <c r="L9" t="s">
        <v>15</v>
      </c>
    </row>
    <row r="10" spans="2:12" x14ac:dyDescent="0.65">
      <c r="B10">
        <f>SUM(B7:B9)</f>
        <v>4900</v>
      </c>
      <c r="C10" s="3"/>
      <c r="D10" s="3"/>
      <c r="E10" s="5">
        <f>SUM(E7:E9)</f>
        <v>2000000</v>
      </c>
      <c r="F10" s="5"/>
      <c r="G10" s="5">
        <f t="shared" ref="F10:K10" si="0">SUM(G7:G9)</f>
        <v>4425000</v>
      </c>
      <c r="H10" s="5"/>
      <c r="I10" s="5">
        <f t="shared" si="0"/>
        <v>4755000</v>
      </c>
      <c r="J10" s="5"/>
      <c r="K10" s="5">
        <f t="shared" si="0"/>
        <v>4455000</v>
      </c>
    </row>
  </sheetData>
  <mergeCells count="4">
    <mergeCell ref="D5:E5"/>
    <mergeCell ref="F5:G5"/>
    <mergeCell ref="H5:I5"/>
    <mergeCell ref="J5:K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1C0A-ADEB-41C6-9867-4C7860384F2E}">
  <dimension ref="A1:H9"/>
  <sheetViews>
    <sheetView workbookViewId="0">
      <selection activeCell="H7" sqref="H7"/>
    </sheetView>
  </sheetViews>
  <sheetFormatPr defaultRowHeight="14.25" x14ac:dyDescent="0.65"/>
  <cols>
    <col min="1" max="1" width="13" customWidth="1"/>
    <col min="2" max="2" width="12.82421875" customWidth="1"/>
    <col min="3" max="3" width="16.30078125" customWidth="1"/>
    <col min="4" max="4" width="14.5625" customWidth="1"/>
    <col min="5" max="8" width="12.30078125" bestFit="1" customWidth="1"/>
  </cols>
  <sheetData>
    <row r="1" spans="1:8" x14ac:dyDescent="0.65">
      <c r="B1" t="s">
        <v>6</v>
      </c>
      <c r="C1" t="s">
        <v>7</v>
      </c>
      <c r="D1" t="s">
        <v>8</v>
      </c>
    </row>
    <row r="2" spans="1:8" x14ac:dyDescent="0.65">
      <c r="B2">
        <v>190</v>
      </c>
      <c r="C2">
        <v>420</v>
      </c>
      <c r="D2">
        <v>90</v>
      </c>
      <c r="G2" t="s">
        <v>18</v>
      </c>
    </row>
    <row r="3" spans="1:8" x14ac:dyDescent="0.65">
      <c r="A3" t="s">
        <v>2</v>
      </c>
      <c r="B3" s="1">
        <v>0.44</v>
      </c>
    </row>
    <row r="4" spans="1:8" x14ac:dyDescent="0.65">
      <c r="A4" t="s">
        <v>3</v>
      </c>
      <c r="B4">
        <f>汇总!C3+(44-33)/33*汇总!C3</f>
        <v>5.6</v>
      </c>
    </row>
    <row r="5" spans="1:8" x14ac:dyDescent="0.65">
      <c r="A5" t="s">
        <v>9</v>
      </c>
      <c r="B5">
        <v>12500</v>
      </c>
      <c r="C5" s="3"/>
      <c r="D5" s="3">
        <v>2027</v>
      </c>
      <c r="E5" s="3">
        <v>2028</v>
      </c>
      <c r="F5" s="3">
        <v>2029</v>
      </c>
      <c r="G5" s="3">
        <v>2030</v>
      </c>
      <c r="H5" s="3">
        <v>2031</v>
      </c>
    </row>
    <row r="6" spans="1:8" x14ac:dyDescent="0.65">
      <c r="C6" s="3" t="s">
        <v>0</v>
      </c>
      <c r="D6" s="3">
        <v>600</v>
      </c>
      <c r="E6" s="3">
        <v>800</v>
      </c>
      <c r="F6" s="3">
        <v>800</v>
      </c>
      <c r="G6" s="3">
        <v>800</v>
      </c>
      <c r="H6" s="3">
        <v>800</v>
      </c>
    </row>
    <row r="7" spans="1:8" x14ac:dyDescent="0.65">
      <c r="C7" s="3" t="s">
        <v>4</v>
      </c>
      <c r="D7" s="6">
        <f>D6*price_zl*1000</f>
        <v>3360000</v>
      </c>
      <c r="E7" s="6">
        <f>E6*price_zl*1000</f>
        <v>4480000</v>
      </c>
      <c r="F7" s="6">
        <f>F6*price_zl*1000</f>
        <v>4480000</v>
      </c>
      <c r="G7" s="6">
        <f>G6*price_zl*1000</f>
        <v>4480000</v>
      </c>
      <c r="H7" s="6">
        <f>H6*price_zl*1000</f>
        <v>4480000</v>
      </c>
    </row>
    <row r="8" spans="1:8" x14ac:dyDescent="0.65">
      <c r="C8" s="3" t="s">
        <v>5</v>
      </c>
      <c r="D8" s="6">
        <f>每倾费用*种植面积_H</f>
        <v>2375000</v>
      </c>
      <c r="E8" s="6">
        <f>每倾费用*种植面积_H</f>
        <v>2375000</v>
      </c>
      <c r="F8" s="6">
        <f>每倾费用*种植面积_H</f>
        <v>2375000</v>
      </c>
      <c r="G8" s="6">
        <f>每倾费用*种植面积_H</f>
        <v>2375000</v>
      </c>
      <c r="H8" s="6">
        <f>每倾费用*种植面积_H</f>
        <v>2375000</v>
      </c>
    </row>
    <row r="9" spans="1:8" x14ac:dyDescent="0.65">
      <c r="C9" s="3" t="s">
        <v>10</v>
      </c>
      <c r="D9" s="6">
        <f>D7-D8</f>
        <v>985000</v>
      </c>
      <c r="E9" s="6">
        <f t="shared" ref="E9:H9" si="0">E7-E8</f>
        <v>2105000</v>
      </c>
      <c r="F9" s="6">
        <f t="shared" si="0"/>
        <v>2105000</v>
      </c>
      <c r="G9" s="6">
        <f t="shared" si="0"/>
        <v>2105000</v>
      </c>
      <c r="H9" s="6">
        <f t="shared" si="0"/>
        <v>2105000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5019-737F-40B7-81AE-65326F764C9F}">
  <dimension ref="A2:H10"/>
  <sheetViews>
    <sheetView topLeftCell="C1" workbookViewId="0">
      <selection activeCell="G3" sqref="G3"/>
    </sheetView>
  </sheetViews>
  <sheetFormatPr defaultRowHeight="14.25" x14ac:dyDescent="0.65"/>
  <cols>
    <col min="1" max="1" width="11.5625" customWidth="1"/>
    <col min="4" max="4" width="17.82421875" bestFit="1" customWidth="1"/>
    <col min="5" max="8" width="12.30078125" bestFit="1" customWidth="1"/>
  </cols>
  <sheetData>
    <row r="2" spans="1:8" x14ac:dyDescent="0.65">
      <c r="B2" t="s">
        <v>6</v>
      </c>
      <c r="C2" t="s">
        <v>7</v>
      </c>
      <c r="D2" t="s">
        <v>8</v>
      </c>
      <c r="G2" t="s">
        <v>19</v>
      </c>
    </row>
    <row r="3" spans="1:8" x14ac:dyDescent="0.65">
      <c r="B3">
        <v>290</v>
      </c>
      <c r="C3">
        <v>490</v>
      </c>
      <c r="D3">
        <v>0</v>
      </c>
    </row>
    <row r="4" spans="1:8" x14ac:dyDescent="0.65">
      <c r="A4" t="s">
        <v>2</v>
      </c>
      <c r="B4" s="1">
        <v>0.33</v>
      </c>
    </row>
    <row r="5" spans="1:8" x14ac:dyDescent="0.65">
      <c r="A5" t="s">
        <v>3</v>
      </c>
      <c r="B5">
        <f>price</f>
        <v>4.2</v>
      </c>
    </row>
    <row r="6" spans="1:8" x14ac:dyDescent="0.65">
      <c r="D6">
        <v>2027</v>
      </c>
      <c r="E6">
        <v>2028</v>
      </c>
      <c r="F6">
        <v>2029</v>
      </c>
      <c r="G6">
        <v>2030</v>
      </c>
    </row>
    <row r="7" spans="1:8" x14ac:dyDescent="0.65">
      <c r="C7" t="s">
        <v>0</v>
      </c>
      <c r="D7">
        <v>550</v>
      </c>
      <c r="E7">
        <v>675</v>
      </c>
      <c r="F7">
        <v>825</v>
      </c>
      <c r="G7">
        <v>825</v>
      </c>
      <c r="H7" t="s">
        <v>11</v>
      </c>
    </row>
    <row r="8" spans="1:8" x14ac:dyDescent="0.65">
      <c r="C8" t="s">
        <v>4</v>
      </c>
      <c r="D8" s="2"/>
      <c r="E8" s="2"/>
      <c r="F8" s="2"/>
      <c r="G8" s="2"/>
      <c r="H8" s="2"/>
    </row>
    <row r="9" spans="1:8" x14ac:dyDescent="0.65">
      <c r="C9" t="s">
        <v>5</v>
      </c>
      <c r="D9" s="2"/>
      <c r="E9" s="2"/>
      <c r="F9" s="2"/>
      <c r="G9" s="2"/>
      <c r="H9" s="2"/>
    </row>
    <row r="10" spans="1:8" x14ac:dyDescent="0.65">
      <c r="C10" t="s">
        <v>10</v>
      </c>
      <c r="D10" s="2">
        <v>15000</v>
      </c>
      <c r="E10" s="2">
        <v>420000</v>
      </c>
      <c r="F10" s="2">
        <v>750000</v>
      </c>
      <c r="G10" s="2">
        <v>450000</v>
      </c>
      <c r="H1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汇总</vt:lpstr>
      <vt:lpstr>ZL昆州农场</vt:lpstr>
      <vt:lpstr>DM新州老农场</vt:lpstr>
      <vt:lpstr>price</vt:lpstr>
      <vt:lpstr>price_zl</vt:lpstr>
      <vt:lpstr>价格</vt:lpstr>
      <vt:lpstr>每倾费用</vt:lpstr>
      <vt:lpstr>种植面积_H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ERP</dc:creator>
  <cp:lastModifiedBy>System ERP</cp:lastModifiedBy>
  <dcterms:created xsi:type="dcterms:W3CDTF">2026-04-12T10:11:05Z</dcterms:created>
  <dcterms:modified xsi:type="dcterms:W3CDTF">2026-04-12T12:18:49Z</dcterms:modified>
</cp:coreProperties>
</file>