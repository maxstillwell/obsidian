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comments7.xml" ContentType="application/vnd.openxmlformats-officedocument.spreadsheetml.comments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threadedComments/threadedComment3.xml" ContentType="application/vnd.ms-excel.threadedcomments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threadedComments/threadedComment5.xml" ContentType="application/vnd.ms-excel.threadedcomments+xml"/>
  <Override PartName="/xl/comments2.xml" ContentType="application/vnd.openxmlformats-officedocument.spreadsheetml.comments+xml"/>
  <Override PartName="/xl/threadedComments/threadedComment7.xml" ContentType="application/vnd.ms-excel.threadedcomments+xml"/>
  <Override PartName="/xl/comments6.xml" ContentType="application/vnd.openxmlformats-officedocument.spreadsheetml.comments+xml"/>
  <Override PartName="/xl/worksheets/sheet10.xml" ContentType="application/vnd.openxmlformats-officedocument.spreadsheetml.worksheet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threadedComments/threadedComment4.xml" ContentType="application/vnd.ms-excel.threadedcomments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threadedComments/threadedComment6.xml" ContentType="application/vnd.ms-excel.threadedcomment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persons/person.xml" ContentType="application/vnd.ms-excel.person+xml"/>
  <Override PartName="/xl/comments3.xml" ContentType="application/vnd.openxmlformats-officedocument.spreadsheetml.comment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activeTab="0"/>
  </bookViews>
  <sheets>
    <sheet name="Harvest Cash Flow Budget 2026" sheetId="1" r:id="rId4"/>
    <sheet name="Creekside Hills 2026FY" sheetId="2" r:id="rId5"/>
    <sheet name="SY Cash Flow Budget for 2026FY" sheetId="3" r:id="rId6"/>
    <sheet name="SY cash flow Budget for FY2024" sheetId="4" r:id="rId7"/>
    <sheet name="Harvest cash flow Budget 2024" sheetId="5" r:id="rId8"/>
    <sheet name="SY cash flow Budget for FY2025" sheetId="6" r:id="rId9"/>
    <sheet name="Eastern 2024" sheetId="7" r:id="rId10"/>
    <sheet name="Creekside Hills 2025FY" sheetId="8" r:id="rId11"/>
    <sheet name="Creekside Hills" sheetId="9" r:id="rId12"/>
    <sheet name="Harvest Cash Flow Budget 2025" sheetId="10" r:id="rId13"/>
  </sheets>
  <calcPr calcId="191028" fullCalcOnLoad="1" forceFullCalc="1"/>
</workbook>
</file>

<file path=xl/comments1.xml><?xml version="1.0" encoding="utf-8"?>
<comments xmlns="http://schemas.openxmlformats.org/spreadsheetml/2006/main">
  <authors>
    <author>tc={ECF6F795-CA41-445A-96F4-29131C94BBD4}</author>
  </authors>
  <commentList>
    <comment ref="C5" authorId="0">
      <text>
        <r>
          <t>rent increase of 3%</t>
        </r>
      </text>
    </comment>
  </commentList>
</comments>
</file>

<file path=xl/comments2.xml><?xml version="1.0" encoding="utf-8"?>
<comments xmlns="http://schemas.openxmlformats.org/spreadsheetml/2006/main">
  <authors>
    <author>tc={13F2FB29-4794-4243-8B12-D300221D338F}</author>
    <author>tc={AA320490-3AAA-427F-81B6-D29023A3613C}</author>
    <author>tc={E5AC332D-99FA-4882-B56F-5B31A9D5892F}</author>
    <author>tc={E18EC6D3-6A0A-4371-A52D-65B7413B932F}</author>
  </authors>
  <commentList>
    <comment ref="L6" authorId="0">
      <text>
        <r>
          <t>increase by 3%</t>
        </r>
        <r>
          <t>invoice 1009, previously 101844.09</t>
        </r>
      </text>
    </comment>
    <comment ref="F6" authorId="1">
      <text>
        <r>
          <t>Invoice 1007, previously 98877.76</t>
        </r>
      </text>
    </comment>
    <comment ref="C6" authorId="2">
      <text>
        <r>
          <t>Invoice 1006, previously 98877.76</t>
        </r>
      </text>
    </comment>
    <comment ref="I6" authorId="3">
      <text>
        <r>
          <t>Invoice 1008, previously 98877.76</t>
        </r>
      </text>
    </comment>
  </commentList>
</comments>
</file>

<file path=xl/comments3.xml><?xml version="1.0" encoding="utf-8"?>
<comments xmlns="http://schemas.openxmlformats.org/spreadsheetml/2006/main">
  <authors>
    <author>tc={10515845-4875-4638-B7BD-8F349E59B908}</author>
    <author>tc={E7508115-ABFE-444F-9E49-70296DFD8796}</author>
    <author>tc={88DE75BE-F2FA-429E-9FEE-430F95D43482}</author>
    <author>tc={16EB2BF8-F161-4EDA-BFBC-87DF9538CF07}</author>
  </authors>
  <commentList>
    <comment ref="H6" authorId="0">
      <text>
        <r>
          <t>Invoice 1011</t>
        </r>
      </text>
    </comment>
    <comment ref="O6" authorId="1">
      <text>
        <r>
          <t>increase of 3%</t>
        </r>
      </text>
    </comment>
    <comment ref="D6" authorId="2">
      <text>
        <r>
          <t>INV 1010, Overdue 1/9/25</t>
        </r>
      </text>
    </comment>
    <comment ref="L6" authorId="3">
      <text>
        <r>
          <t>Invoice 1012</t>
        </r>
      </text>
    </comment>
  </commentList>
</comments>
</file>

<file path=xl/comments4.xml><?xml version="1.0" encoding="utf-8"?>
<comments xmlns="http://schemas.openxmlformats.org/spreadsheetml/2006/main">
  <authors>
    <author>tc={67FC1FD0-8B81-44E7-BE00-2FECACACE403}</author>
  </authors>
  <commentList>
    <comment ref="K5" authorId="0">
      <text>
        <r>
          <t>Increase of 3% rent on 1 march 2026</t>
        </r>
      </text>
    </comment>
  </commentList>
</comments>
</file>

<file path=xl/comments5.xml><?xml version="1.0" encoding="utf-8"?>
<comments xmlns="http://schemas.openxmlformats.org/spreadsheetml/2006/main">
  <authors>
    <author>tc={B1F9F5C1-06AF-4886-B7AE-5DB27EF1C201}</author>
    <author>tc={1C939B80-82DF-4352-91A9-29D55365550E}</author>
    <author>tc={63BB5EC1-0E90-4E5C-BDC8-C65F04E82BDF}</author>
    <author>tc={637A920D-FEFC-4F80-AA9D-A8C16F99F903}</author>
    <author>tc={B23A4AC6-ED78-47BC-9ED9-CD9373B01868}</author>
    <author>tc={EF231DD9-AF57-4BA4-88C9-DA17C8D0F61E}</author>
    <author>tc={57E0AEBE-B3F2-4E32-BC80-52C56F49DB9F}</author>
    <author>tc={589A91CE-D6B9-448F-A7C9-FD1A6A758600}</author>
    <author>tc={DD31A7ED-7D6D-42EC-B9C4-276BDCB9031D}</author>
    <author>tc={AA852824-CC1B-4A61-8ED7-285C29EB8E71}</author>
    <author>tc={52B90B10-6AC6-4A7F-B02E-F1E7E2D03717}</author>
    <author>tc={3CE539D2-EC32-4CC1-92F4-17F7DF85AD3F}</author>
    <author>tc={E4F4EED3-A427-4FC4-8A6B-CCA04A082E4A}</author>
    <author>tc={69584DE0-2CC9-4549-9B07-FE6D416F725E}</author>
    <author>tc={784E0A3B-873E-4F7B-A704-C0123DB1E7E4}</author>
    <author>tc={59EC91B7-E553-477A-A0E9-2731BF02D09E}</author>
    <author>tc={34323774-AA53-4363-8C6F-FF3E210A57F2}</author>
    <author>tc={EF08E662-0B17-443F-9CDF-E5F9E1E1D0E9}</author>
    <author>tc={F1879536-8F42-495B-8A67-A015EDFA2802}</author>
    <author>tc={58405969-6A68-482C-A8C9-E93962B86C7B}</author>
    <author>tc={4BF8841A-73CC-46F6-810C-7BCA51BEF844}</author>
    <author>tc={7AD81757-AC4A-4FF9-B6F2-BAF4FE6E432A}</author>
    <author>tc={C920A13E-84E1-4289-929A-87C5C06DECC0}</author>
    <author>tc={4523FE09-190F-42EE-B1DC-18095AE3EF51}</author>
    <author>tc={71F672F8-D007-4BAF-BB21-8441BA861609}</author>
    <author>tc={982FB801-2D3A-4AD1-972C-4FFB0B73ED5E}</author>
    <author>tc={236635D4-FD3C-4F43-804F-6B1814BF5210}</author>
    <author>tc={DACE8DF2-6506-45D9-BC1E-8D743FB91E91}</author>
    <author>tc={A84860AA-525C-4946-8240-803746CC289D}</author>
    <author>tc={7BCCD98C-D06E-44F4-8A3F-EA5AFD98DD1B}</author>
    <author>tc={0EB60F26-42D6-4955-A017-20A5FFC0E66F}</author>
    <author>tc={9C493A3B-2347-4E88-B1A6-A267679A2AC4}</author>
    <author>tc={97F50E12-36B0-48BE-814F-B147AA9A14C1}</author>
    <author>tc={15DCF722-A075-499A-B66D-BE51DBF9023D}</author>
    <author>tc={3E939BB9-E25B-4DE6-858D-8100FCAEB1C3}</author>
    <author>tc={F5296D42-B4DD-4612-A677-98D210ED8337}</author>
    <author>tc={50AE049F-1789-45D4-BC8B-E92EAD480D5A}</author>
    <author>tc={4813142B-9C3A-41C8-AF18-B74D370D0001}</author>
    <author>tc={B05FD3A3-C253-40D6-BBA1-0BD1CBF82CCA}</author>
    <author>tc={71787D15-D5AC-4B66-ABF5-90008F6949D4}</author>
    <author>tc={C12F61B0-81B9-4371-BAEF-80FC1C1CEC6F}</author>
    <author>tc={926944F1-0ED0-4A48-B9BF-915D1C945361}</author>
    <author>tc={E3D081C8-7186-4431-AE42-7B7AD803A1DE}</author>
    <author>tc={82CD3617-EB02-43D5-B153-FA3EDEE28CAE}</author>
    <author>tc={66479032-2181-465D-82E7-F4D4F6D3908D}</author>
    <author>tc={FCE2EA8E-8866-4C6A-A430-39D8BD06C0D1}</author>
    <author>tc={E36C8EDA-B8C3-40B1-97F2-2A4C621DAC95}</author>
    <author>tc={2AA6E5B0-F815-49D4-A0E7-AD113735DB75}</author>
    <author>tc={07F8F690-131C-4104-B6ED-7160FB447A44}</author>
    <author>tc={4D516DED-11F0-40A1-828E-A715EC5DB5AC}</author>
    <author>tc={9D674C38-54DC-49B6-9212-CF014B249FF7}</author>
    <author>tc={C4491CAD-1221-4935-8AEF-3147FBECD8AD}</author>
    <author>tc={71AD643B-BAD8-4A8C-ABAA-13EB7EFE60B8}</author>
    <author>tc={DB4E5544-E13D-4EAE-A1FF-6857F61EB7CE}</author>
    <author>tc={0C7D53F5-E19A-494F-96F0-6A3693263160}</author>
    <author>tc={CC9DC626-4466-4BD4-9F33-A60E6C013CB2}</author>
    <author>tc={050B42EA-D133-4952-85ED-EB698B372E43}</author>
    <author>tc={65B3C3DE-6EAE-41BB-B80A-3567F1E78640}</author>
    <author>tc={94737745-992A-4D11-A530-56C624F6E57E}</author>
    <author>tc={2E0FD6CE-6377-42A9-A132-8C41B5F94618}</author>
    <author>tc={2BAA2C80-873A-4E13-A2BD-E4DE820373A8}</author>
  </authors>
  <commentList>
    <comment ref="T18" authorId="0">
      <text>
        <r>
          <t>Statement 51</t>
        </r>
      </text>
    </comment>
    <comment ref="D6" authorId="1">
      <text>
        <r>
          <t>Agistment, P8095</t>
        </r>
      </text>
    </comment>
    <comment ref="H14" authorId="2">
      <text>
        <r>
          <t>Statement 24, 3019.95 - 211.39 - 0.28 -1.82 - 1626</t>
        </r>
      </text>
    </comment>
    <comment ref="D10" authorId="3">
      <text>
        <r>
          <t>Statement 22</t>
        </r>
      </text>
    </comment>
    <comment ref="I17" authorId="4">
      <text>
        <r>
          <t>Rent Increase of 3%</t>
        </r>
      </text>
    </comment>
    <comment ref="Z14" authorId="5">
      <text>
        <r>
          <t>Statement 35</t>
        </r>
      </text>
    </comment>
    <comment ref="H9" authorId="6">
      <text>
        <r>
          <t>INV 1026, due 4/10/25</t>
        </r>
      </text>
    </comment>
    <comment ref="D17" authorId="7">
      <text>
        <r>
          <t>5948.80 + 2622.54 - 297.44 - 5.50</t>
        </r>
      </text>
    </comment>
    <comment ref="X6" authorId="8">
      <text>
        <r>
          <t>https://drive.weixin.qq.com/s?k=ANcAgAdyAEEnMm060d</t>
        </r>
      </text>
    </comment>
    <comment ref="J13" authorId="9">
      <text>
        <r>
          <t>INV 2025, due 4/10/25</t>
        </r>
      </text>
    </comment>
    <comment ref="L18" authorId="10">
      <text>
        <r>
          <t>Paid together next invoice</t>
        </r>
      </text>
    </comment>
    <comment ref="S7" authorId="11">
      <text>
        <r>
          <t>increase of 3 %</t>
        </r>
      </text>
    </comment>
    <comment ref="R14" authorId="12">
      <text>
        <r>
          <t>Statement 31</t>
        </r>
      </text>
    </comment>
    <comment ref="L14" authorId="13">
      <text>
        <r>
          <t>Statement 26</t>
        </r>
      </text>
    </comment>
    <comment ref="V6" authorId="14">
      <text>
        <r>
          <t>https://drive.weixin.qq.com/s?k=ANcAgAdyAEEWVjQ0v1</t>
        </r>
      </text>
    </comment>
    <comment ref="I19" authorId="15">
      <text>
        <r>
          <t>rent increase of 3%</t>
        </r>
      </text>
    </comment>
    <comment ref="V17" authorId="16">
      <text>
        <r>
          <t>Statement 50</t>
        </r>
      </text>
    </comment>
    <comment ref="U8" authorId="17">
      <text>
        <r>
          <t>increased by 3% on each anniversary as per contract. please advise if 3% of the original amount or of the total</t>
        </r>
      </text>
    </comment>
    <comment ref="N14" authorId="18">
      <text>
        <r>
          <t>Statement #29</t>
        </r>
      </text>
    </comment>
    <comment ref="P18" authorId="19">
      <text>
        <r>
          <t>Statement 47</t>
        </r>
      </text>
    </comment>
    <comment ref="R6" authorId="20">
      <text>
        <r>
          <t>https://drive.weixin.qq.com/s?k=ANcAgAdyAEEPJqkHzH</t>
        </r>
      </text>
    </comment>
    <comment ref="D8" authorId="21">
      <text>
        <r>
          <t>INV 1024, overdue 2/8/25</t>
        </r>
      </text>
    </comment>
    <comment ref="V14" authorId="22">
      <text>
        <r>
          <t>Statement 33</t>
        </r>
      </text>
    </comment>
    <comment ref="P6" authorId="23">
      <text>
        <r>
          <t>https://drive.weixin.qq.com/s?k=ANcAgAdyAEEijDvC7w</t>
        </r>
      </text>
    </comment>
    <comment ref="N18" authorId="24">
      <text>
        <r>
          <t>Statement 45, Nov + Dec together</t>
        </r>
      </text>
    </comment>
    <comment ref="T17" authorId="25">
      <text>
        <r>
          <t>Statement 50</t>
        </r>
        <r>
          <t>Unsure why GST was added in this statement, but not on the others</t>
        </r>
      </text>
    </comment>
    <comment ref="R17" authorId="26">
      <text>
        <r>
          <t>Statement 47</t>
        </r>
      </text>
    </comment>
    <comment ref="F14" authorId="27">
      <text>
        <r>
          <t>Statement 23, 3019.95 - 211.39 - 0.28 - 1.82</t>
        </r>
      </text>
    </comment>
    <comment ref="V18" authorId="28">
      <text>
        <r>
          <t>Statement 51, paid 4月5月together</t>
        </r>
      </text>
    </comment>
    <comment ref="T14" authorId="29">
      <text>
        <r>
          <t>Statement #32</t>
        </r>
      </text>
    </comment>
    <comment ref="J10" authorId="30">
      <text>
        <r>
          <t>Statement 27</t>
        </r>
      </text>
    </comment>
    <comment ref="J6" authorId="31">
      <text>
        <r>
          <t>https://drive.weixin.qq.com/s?k=ANcAgAdyAEEd7nJYlM</t>
        </r>
      </text>
    </comment>
    <comment ref="N17" authorId="32">
      <text>
        <r>
          <t>Statement 45</t>
        </r>
      </text>
    </comment>
    <comment ref="T9" authorId="33">
      <text>
        <r>
          <t>Invoice 1030</t>
        </r>
      </text>
    </comment>
    <comment ref="P14" authorId="34">
      <text>
        <r>
          <t>Statement Missing</t>
        </r>
      </text>
    </comment>
    <comment ref="X17" authorId="35">
      <text>
        <r>
          <t>Statement 52</t>
        </r>
      </text>
    </comment>
    <comment ref="H6" authorId="36">
      <text>
        <r>
          <t>https://drive.weixin.qq.com/s?k=ANcAgAdyAEEmmcy5AX</t>
        </r>
      </text>
    </comment>
    <comment ref="P17" authorId="37">
      <text>
        <r>
          <t>Statement Missing</t>
        </r>
      </text>
    </comment>
    <comment ref="I18" authorId="38">
      <text>
        <r>
          <t>rent increase of 3%</t>
        </r>
        <r>
          <t>rent increase on 1/7/26</t>
        </r>
      </text>
    </comment>
    <comment ref="T7" authorId="39">
      <text>
        <r>
          <t>Invoice 1031</t>
        </r>
      </text>
    </comment>
    <comment ref="H7" authorId="40">
      <text>
        <r>
          <t>INV 1027, due 4/10/25</t>
        </r>
      </text>
    </comment>
    <comment ref="L6" authorId="41">
      <text>
        <r>
          <t>P8207</t>
        </r>
        <r>
          <t>https://drive.weixin.qq.com/s?k=ANcAgAdyAEECcVoTM3</t>
        </r>
      </text>
    </comment>
    <comment ref="T6" authorId="42">
      <text>
        <r>
          <t>https://drive.weixin.qq.com/s?k=ANcAgAdyAEENFNfMMX</t>
        </r>
      </text>
    </comment>
    <comment ref="Z17" authorId="43">
      <text>
        <r>
          <t>Statement 54</t>
        </r>
      </text>
    </comment>
    <comment ref="L17" authorId="44">
      <text>
        <r>
          <t>Statement 44</t>
        </r>
      </text>
    </comment>
    <comment ref="Z18" authorId="45">
      <text>
        <r>
          <t>Statement 54, extra 80 cents?</t>
        </r>
      </text>
    </comment>
    <comment ref="H18" authorId="46">
      <text>
        <r>
          <t>Statement 41 18-9-25</t>
        </r>
      </text>
    </comment>
    <comment ref="X14" authorId="47">
      <text>
        <r>
          <t>Statement 34</t>
        </r>
      </text>
    </comment>
    <comment ref="J14" authorId="48">
      <text>
        <r>
          <t>Statement 25</t>
        </r>
      </text>
    </comment>
    <comment ref="F18" authorId="49">
      <text>
        <r>
          <t>Statement 40 26-8-25</t>
        </r>
      </text>
    </comment>
    <comment ref="J18" authorId="50">
      <text>
        <r>
          <t>Statement 44</t>
        </r>
      </text>
    </comment>
    <comment ref="G17" authorId="51">
      <text>
        <r>
          <t>increase of 3% rent</t>
        </r>
      </text>
    </comment>
    <comment ref="H17" authorId="52">
      <text>
        <r>
          <t>3437.50 + 5948.80 + 14.94 - 469.32 - 5.50</t>
        </r>
        <r>
          <t>Statement 40 26-08-25</t>
        </r>
      </text>
    </comment>
    <comment ref="F17" authorId="53">
      <text>
        <r>
          <t>3437.50 + 10.78 - 171.88 - 5.50 - 23.38</t>
        </r>
        <r>
          <t>Statement 39 29-07-25</t>
        </r>
      </text>
    </comment>
    <comment ref="S13" authorId="54">
      <text>
        <r>
          <t>increase of 3% on anniversary</t>
        </r>
      </text>
    </comment>
    <comment ref="J17" authorId="55">
      <text>
        <r>
          <t>Statement 42 1-10-25</t>
        </r>
      </text>
    </comment>
    <comment ref="N6" authorId="56">
      <text>
        <r>
          <t>https://drive.weixin.qq.com/s?k=ANcAgAdyAEEcjdy6bP</t>
        </r>
      </text>
    </comment>
    <comment ref="X18" authorId="57">
      <text>
        <r>
          <t>Paid previous month</t>
        </r>
      </text>
    </comment>
    <comment ref="D18" authorId="58">
      <text>
        <r>
          <t>Statement 37 03-07-25</t>
        </r>
      </text>
    </comment>
    <comment ref="D14" authorId="59">
      <text>
        <r>
          <t>Statement 22, 2976.50 - 0.28 - 208.35 - 1.82</t>
        </r>
      </text>
    </comment>
    <comment ref="R18" authorId="60">
      <text>
        <r>
          <t>Statement 49</t>
        </r>
      </text>
    </comment>
  </commentList>
</comments>
</file>

<file path=xl/comments6.xml><?xml version="1.0" encoding="utf-8"?>
<comments xmlns="http://schemas.openxmlformats.org/spreadsheetml/2006/main">
  <authors>
    <author>tc={74CBF690-170C-4BE4-91BD-31CDCD42CDEE}</author>
    <author>tc={0011FB4B-B7E2-4A71-95A3-FEEF91E2A736}</author>
    <author>tc={7AAFB378-444E-4FCC-A3DA-5F53E7C358C9}</author>
    <author>tc={1C30B892-93F7-4587-BD93-D475787ED56B}</author>
  </authors>
  <commentList>
    <comment ref="L6" authorId="0">
      <text>
        <r>
          <t>Invoice 1005</t>
        </r>
      </text>
    </comment>
    <comment ref="C6" authorId="1">
      <text>
        <r>
          <t>Invoice 1002</t>
        </r>
      </text>
    </comment>
    <comment ref="I6" authorId="2">
      <text>
        <r>
          <t>Invoice 1004</t>
        </r>
      </text>
    </comment>
    <comment ref="F6" authorId="3">
      <text>
        <r>
          <t>Invoice 1003</t>
        </r>
      </text>
    </comment>
  </commentList>
</comments>
</file>

<file path=xl/comments7.xml><?xml version="1.0" encoding="utf-8"?>
<comments xmlns="http://schemas.openxmlformats.org/spreadsheetml/2006/main">
  <authors>
    <author>tc={BF286328-24FE-4EDE-96D9-B303687705C5}</author>
  </authors>
  <commentList>
    <comment ref="K7" authorId="0">
      <text>
        <r>
          <t>increase 3% on march</t>
        </r>
      </text>
    </comment>
  </commentList>
</comments>
</file>

<file path=xl/sharedStrings.xml><?xml version="1.0" encoding="utf-8"?>
<sst xmlns="http://schemas.openxmlformats.org/spreadsheetml/2006/main" count="135" uniqueCount="135">
  <si>
    <t/>
  </si>
  <si>
    <t>Creekside Hills</t>
  </si>
  <si>
    <t>7/1/2023</t>
  </si>
  <si>
    <t>8/1/2023</t>
  </si>
  <si>
    <t>9/1/2023</t>
  </si>
  <si>
    <t>10/1/2023</t>
  </si>
  <si>
    <t>11/1/2023</t>
  </si>
  <si>
    <t>12/1/2023</t>
  </si>
  <si>
    <t>1/1/2024</t>
  </si>
  <si>
    <t>2/1/2024</t>
  </si>
  <si>
    <t>3/1/2024</t>
  </si>
  <si>
    <t>4/1/2024</t>
  </si>
  <si>
    <t>5/1/2024</t>
  </si>
  <si>
    <t>6/1/2024</t>
  </si>
  <si>
    <t>Total Amount</t>
  </si>
  <si>
    <t>Opening balance</t>
  </si>
  <si>
    <t>Cash In</t>
  </si>
  <si>
    <t>Chitin Grange</t>
  </si>
  <si>
    <t xml:space="preserve">Havelock Ag Services </t>
  </si>
  <si>
    <t>简介</t>
  </si>
  <si>
    <t>Total cash in</t>
  </si>
  <si>
    <t>Cash out</t>
  </si>
  <si>
    <t>Bank fee</t>
  </si>
  <si>
    <t>Accounting Fee</t>
  </si>
  <si>
    <t>Outgoing Fee</t>
  </si>
  <si>
    <t>Insurance</t>
  </si>
  <si>
    <t>GST payable</t>
  </si>
  <si>
    <t>Total cash out</t>
  </si>
  <si>
    <t>Closing balance</t>
  </si>
  <si>
    <t>Harvest Agriculture</t>
  </si>
  <si>
    <t>Yaloak Estate</t>
  </si>
  <si>
    <t>Pacific Blue (wind farm) 风力发电3 June 2043到期</t>
  </si>
  <si>
    <t>R. M. Gillet &amp; Co Pty Ltd (2 x5 years)种植许可费</t>
  </si>
  <si>
    <t>$ -</t>
  </si>
  <si>
    <t>Actual Balance</t>
  </si>
  <si>
    <t>Yaloak Rent</t>
  </si>
  <si>
    <t>Eastern Land</t>
  </si>
  <si>
    <t>105 Hobson (330)</t>
  </si>
  <si>
    <t>contract finished</t>
  </si>
  <si>
    <t>Management fee</t>
  </si>
  <si>
    <t>Cash flow projection for The Trustee for SY Agriculture Trust By ML Tax Solution Pty Ltd</t>
  </si>
  <si>
    <t>165 Buftons</t>
  </si>
  <si>
    <t xml:space="preserve">49 Betula Ave Vermont </t>
  </si>
  <si>
    <t>Notes:</t>
  </si>
  <si>
    <t>Beefcorp market review, no fixed increase</t>
  </si>
  <si>
    <t>B.D Vowles and I.H Vowles increase by 3%</t>
  </si>
  <si>
    <t>R. M. Gillet &amp; Co Pty Ltd increase by CPI or 3% whichever is higher</t>
  </si>
  <si>
    <t>Polo Club no increase</t>
  </si>
  <si>
    <t>GLEN CREEK FARM PTY. LTD no increase</t>
  </si>
  <si>
    <t>house rental lease renew on Sep 2024, estimate increase 4%</t>
  </si>
  <si>
    <t>Factory 1 estimated new lease 40K+GST</t>
  </si>
  <si>
    <t>Factory 2&amp;3 increase 4% pa</t>
  </si>
  <si>
    <t>49 Betula</t>
  </si>
  <si>
    <t>165 Buftons Lease</t>
  </si>
  <si>
    <t>165 Buftons Farming</t>
  </si>
  <si>
    <t>Yaloak</t>
  </si>
  <si>
    <t>SY Calf</t>
  </si>
  <si>
    <t>预计</t>
  </si>
  <si>
    <t>实际</t>
  </si>
  <si>
    <t>Invoice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</si>
  <si>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</si>
  <si>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</si>
  <si>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</si>
  <si>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</si>
  <si>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</si>
  <si>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</si>
  <si>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</si>
  <si>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</si>
  <si>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</si>
  <si>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</si>
  <si>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</si>
  <si>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</si>
  <si>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Total:</t>
  </si>
  <si>
    <t>Beefcorp (2Years)</t>
  </si>
  <si>
    <t>B.D Vowles and I.H Vowles (2 Years)</t>
  </si>
  <si>
    <t>R. M. Gillet &amp; Co Pty Ltd (2 x5 years)</t>
  </si>
  <si>
    <t>Yaloak Polo Club Inc  (2 x3 years)</t>
  </si>
  <si>
    <t>GLEN CREEK FARM PTY. LTD. (1 Year)</t>
  </si>
  <si>
    <t>House rental</t>
  </si>
  <si>
    <t>Factory 1</t>
  </si>
  <si>
    <t>Factory 2 &amp;3 (2*3Years)</t>
  </si>
  <si>
    <t xml:space="preserve">Actual Balance </t>
  </si>
  <si>
    <t>SY CALF</t>
  </si>
  <si>
    <t>Jul 23</t>
  </si>
  <si>
    <t>Aug 23</t>
  </si>
  <si>
    <t>Sep 23</t>
  </si>
  <si>
    <t>Oct 23</t>
  </si>
  <si>
    <t>Nov 23</t>
  </si>
  <si>
    <t>Dec 23</t>
  </si>
  <si>
    <t>Jan 24</t>
  </si>
  <si>
    <t>Feb 24</t>
  </si>
  <si>
    <t>Mar 24</t>
  </si>
  <si>
    <t>Apr 24</t>
  </si>
  <si>
    <t>May 24</t>
  </si>
  <si>
    <t>Jun 24</t>
  </si>
  <si>
    <t>first of march 2025 new contract</t>
  </si>
  <si>
    <r>
      <t xml:space="preserve"> 330</t>
    </r>
    <r>
      <rPr>
        <rFont val="Calibri"/>
        <charset val="134"/>
        <family val="3"/>
        <color theme="10"/>
        <sz val="11"/>
        <u/>
        <scheme val="minor"/>
      </rPr>
      <t>农场</t>
    </r>
    <phoneticPr fontId="1" type="noConversion"/>
  </si>
  <si>
    <r>
      <rPr>
        <color rgb="FF267EF0"/>
        <u/>
      </rPr>
      <t>Beefcorp (2Years)</t>
    </r>
  </si>
  <si>
    <r>
      <rPr>
        <color rgb="FF267EF0"/>
        <u val="none"/>
      </rPr>
      <t>SY Calf invoice summary31032023 to 31082024</t>
    </r>
  </si>
  <si>
    <r>
      <rPr>
        <color rgb="FF267EF0"/>
        <u/>
      </rPr>
      <t>B.D Vowles and I.H Vowles (2 Years)</t>
    </r>
  </si>
  <si>
    <r>
      <rPr>
        <color rgb="FF267EF0"/>
        <u/>
      </rPr>
      <t xml:space="preserve">R. M. Gillet &amp; Co Pty Ltd (2 x5 years) </t>
    </r>
  </si>
  <si>
    <r>
      <rPr>
        <color rgb="FF267EF0"/>
        <u/>
      </rPr>
      <t>Yaloak Polo Club Inc  (2 x3 years)</t>
    </r>
  </si>
  <si>
    <r>
      <rPr>
        <color rgb="FF267EF0"/>
        <u/>
      </rPr>
      <t>Mian housestaid (1 year)</t>
    </r>
  </si>
  <si>
    <r>
      <rPr>
        <color rgb="FF267EF0"/>
        <u/>
      </rPr>
      <t>GLEN CREEK FARM PTY. LTD. (1 Year)</t>
    </r>
  </si>
  <si>
    <r>
      <rPr>
        <rFont val="Calibri"/>
        <b val="false"/>
        <i val="false"/>
        <strike val="false"/>
        <color rgb="FF267EF0"/>
        <sz val="11"/>
        <u/>
      </rPr>
      <t xml:space="preserve">House rental </t>
    </r>
  </si>
  <si>
    <r>
      <rPr>
        <rFont val="微软雅黑"/>
        <b val="false"/>
        <i val="false"/>
        <strike val="false"/>
        <color rgb="FF267EF0"/>
        <sz val="11"/>
        <u/>
      </rPr>
      <t>Factory 1 lease finish on 12/09/2024 new lease to 28/02/2025</t>
    </r>
  </si>
  <si>
    <r>
      <rPr>
        <color rgb="FF267EF0"/>
        <u/>
      </rPr>
      <t>Factory 2 (2*3Years)</t>
    </r>
  </si>
  <si>
    <r>
      <rPr>
        <color rgb="FF267EF0"/>
        <u/>
      </rPr>
      <t>Factory 3 (2*3Years)</t>
    </r>
  </si>
  <si>
    <r>
      <rPr>
        <color rgb="FF267EF0"/>
        <u/>
      </rPr>
      <t>P7774</t>
    </r>
  </si>
  <si>
    <r>
      <rPr>
        <color rgb="FF267EF0"/>
        <u/>
      </rPr>
      <t>P7804</t>
    </r>
  </si>
  <si>
    <r>
      <rPr>
        <color rgb="FF267EF0"/>
        <u/>
      </rPr>
      <t>P7844</t>
    </r>
  </si>
  <si>
    <r>
      <rPr>
        <color rgb="FF267EF0"/>
        <u/>
      </rPr>
      <t>P7873</t>
    </r>
  </si>
  <si>
    <r>
      <rPr>
        <color rgb="FF267EF0"/>
        <u/>
      </rPr>
      <t>P7908</t>
    </r>
  </si>
  <si>
    <r>
      <rPr>
        <color rgb="FF267EF0"/>
        <u/>
      </rPr>
      <t>P7934</t>
    </r>
  </si>
  <si>
    <r>
      <rPr>
        <color rgb="FF267EF0"/>
        <u/>
      </rPr>
      <t>P7968</t>
    </r>
  </si>
  <si>
    <r>
      <rPr>
        <color rgb="FF267EF0"/>
        <u/>
      </rPr>
      <t>P7984</t>
    </r>
  </si>
  <si>
    <r>
      <rPr>
        <color rgb="FF267EF0"/>
        <u/>
      </rPr>
      <t>P8033</t>
    </r>
  </si>
  <si>
    <r>
      <rPr>
        <color rgb="FF267EF0"/>
        <u/>
      </rPr>
      <t>P8047</t>
    </r>
  </si>
  <si>
    <r>
      <rPr>
        <rFont val="微软雅黑"/>
        <b val="false"/>
        <i val="false"/>
        <strike val="false"/>
        <color rgb="FF267EF0"/>
        <sz val="11"/>
        <u/>
      </rPr>
      <t>Beefcorp (2Years) (Ending 1 Jul 2026)</t>
    </r>
  </si>
  <si>
    <r>
      <rPr>
        <rFont val="微软雅黑"/>
        <b val="false"/>
        <i val="false"/>
        <strike val="false"/>
        <color rgb="FF267EF0"/>
        <sz val="11"/>
        <u/>
      </rPr>
      <t>B.D Vowles and I.H Vowles (2 Years) (Ending 1 Mar 2028)</t>
    </r>
  </si>
  <si>
    <r>
      <rPr>
        <color rgb="FF267EF0"/>
        <u val="none"/>
      </rPr>
      <t>Factory 1 New Lease</t>
    </r>
  </si>
  <si>
    <r>
      <rPr>
        <color rgb="FF267EF0"/>
        <u val="none"/>
      </rPr>
      <t>Factory 2 &amp; 3</t>
    </r>
  </si>
  <si>
    <r>
      <rPr>
        <color rgb="FF267EF0"/>
        <u/>
      </rPr>
      <t>Main homestaid (1 year)</t>
    </r>
  </si>
  <si>
    <r>
      <rPr>
        <color rgb="FF267EF0"/>
        <u/>
      </rPr>
      <t>P7427</t>
    </r>
  </si>
  <si>
    <r>
      <rPr>
        <color rgb="FF267EF0"/>
        <u/>
      </rPr>
      <t>P7451</t>
    </r>
  </si>
  <si>
    <r>
      <rPr>
        <color rgb="FF267EF0"/>
        <u/>
      </rPr>
      <t>P7484</t>
    </r>
  </si>
  <si>
    <r>
      <rPr>
        <color rgb="FF267EF0"/>
        <u/>
      </rPr>
      <t>P7518</t>
    </r>
  </si>
  <si>
    <r>
      <rPr>
        <color rgb="FF267EF0"/>
        <u/>
      </rPr>
      <t>P7548</t>
    </r>
  </si>
  <si>
    <r>
      <rPr>
        <color rgb="FF267EF0"/>
        <u/>
      </rPr>
      <t>P7581</t>
    </r>
  </si>
  <si>
    <r>
      <rPr>
        <color rgb="FF267EF0"/>
        <u/>
      </rPr>
      <t>P7651</t>
    </r>
  </si>
  <si>
    <r>
      <rPr>
        <color rgb="FF267EF0"/>
        <u/>
      </rPr>
      <t>P7640</t>
    </r>
  </si>
  <si>
    <r>
      <rPr>
        <color rgb="FF267EF0"/>
        <u/>
      </rPr>
      <t>P7675</t>
    </r>
  </si>
  <si>
    <r>
      <rPr>
        <color rgb="FF267EF0"/>
        <u/>
      </rPr>
      <t>P7705</t>
    </r>
  </si>
  <si>
    <r>
      <rPr>
        <color rgb="FF267EF0"/>
        <u/>
      </rPr>
      <t>P7730</t>
    </r>
  </si>
  <si>
    <r>
      <rPr>
        <color rgb="FF267EF0"/>
        <u/>
      </rPr>
      <t>P7737</t>
    </r>
  </si>
</sst>
</file>

<file path=xl/styles.xml><?xml version="1.0" encoding="utf-8"?>
<styleSheet xmlns="http://schemas.openxmlformats.org/spreadsheetml/2006/main">
  <numFmts count="11">
    <numFmt numFmtId="300" formatCode="d/mm/yyyy;@"/>
    <numFmt numFmtId="301" formatCode="\$#,##0.00_);[Red]\(\$#,##0.00\)"/>
    <numFmt numFmtId="302" formatCode="\$#,##0.00;\-\$#,##0.00"/>
    <numFmt numFmtId="303" formatCode="m/d/yyyy"/>
    <numFmt numFmtId="304" formatCode="$#,##0.00;[Red]-$#,##0.00"/>
    <numFmt numFmtId="305" formatCode="_-&quot;$&quot;* #,##0.00_-;\-&quot;$&quot;* #,##0.00_-;_-&quot;$&quot;* &quot;-&quot;??_-;_-@_-"/>
    <numFmt numFmtId="306" formatCode="&quot;$&quot;#,##0.00_);[Red](&quot;$&quot;#,##0.00)"/>
    <numFmt numFmtId="307" formatCode="_-&quot;$&quot;* #,##0.00_-;\-&quot;$&quot;* #,##0.00_-;_-&quot;$&quot;* &quot;-&quot;??_-;_-@"/>
    <numFmt numFmtId="308" formatCode="$#,##0.00"/>
    <numFmt numFmtId="309" formatCode="\$#,##0_);[Red]\(\$#,##0\)"/>
    <numFmt numFmtId="310" formatCode="General"/>
  </numFmts>
  <fonts count="32">
    <font>
      <name val="Calibri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theme="1"/>
      <sz val="11"/>
    </font>
    <font>
      <name val="Calibri"/>
      <family val="2"/>
      <b val="true"/>
      <color theme="1"/>
      <sz val="11"/>
    </font>
    <font>
      <name val="Calibri"/>
      <charset val="134"/>
      <family val="2"/>
      <color theme="10"/>
      <sz val="11"/>
      <u/>
      <scheme val="minor"/>
    </font>
    <font>
      <name val="Calibri"/>
      <family val="2"/>
      <color rgb="FF222222"/>
      <sz val="12"/>
    </font>
    <font>
      <i val="false"/>
    </font>
    <font>
      <name val="Calibri"/>
      <color theme="1"/>
      <sz val="11"/>
    </font>
    <font>
      <name val="Calibri"/>
      <b val="true"/>
      <color theme="1"/>
      <sz val="11"/>
    </font>
    <font>
      <name val="Calibri"/>
      <color theme="10"/>
      <sz val="11"/>
      <u/>
    </font>
    <font>
      <name val="Calibri"/>
      <color rgb="FF222222"/>
      <sz val="12"/>
    </font>
    <font>
      <name val="Calibri"/>
    </font>
    <font>
      <name val="Avenir Next forINTUIT"/>
      <color rgb="FF333333"/>
      <sz val="9"/>
    </font>
    <font>
      <name val="Calibri"/>
      <charset val="134"/>
      <family val="2"/>
    </font>
    <font>
      <name val="Calibri"/>
      <charset val="134"/>
      <family val="2"/>
      <color theme="1"/>
      <sz val="11"/>
      <scheme val="minor"/>
    </font>
    <font>
      <name val="Calibri"/>
      <charset val="134"/>
      <family val="3"/>
      <b val="true"/>
      <color theme="1"/>
      <sz val="14"/>
      <scheme val="minor"/>
    </font>
    <font>
      <name val="Calibri"/>
      <family val="2"/>
      <b val="true"/>
      <color theme="1"/>
      <sz val="11"/>
      <scheme val="minor"/>
    </font>
    <font>
      <name val="等线"/>
    </font>
    <font>
      <name val="Calibri"/>
      <charset val="134"/>
      <family val="2"/>
      <color theme="1"/>
      <sz val="11"/>
    </font>
    <font>
      <name val="Calibri"/>
      <charset val="134"/>
      <family val="3"/>
      <color theme="1"/>
      <sz val="11"/>
      <scheme val="minor"/>
    </font>
    <font>
      <name val="Arial"/>
      <family val="2"/>
      <color rgb="FF222222"/>
      <sz val="11"/>
    </font>
    <font>
      <name val="Calibri"/>
      <charset val="134"/>
      <family val="3"/>
      <b val="true"/>
      <color theme="1"/>
      <sz val="11"/>
      <scheme val="minor"/>
    </font>
    <font>
      <name val="Calibri"/>
      <charset val="134"/>
      <family val="2"/>
      <scheme val="minor"/>
    </font>
    <font>
      <name val="Calibri"/>
      <b val="true"/>
      <color theme="1"/>
      <sz val="14"/>
    </font>
    <font>
      <name val="Calibri"/>
      <color rgb="FF222222"/>
      <sz val="11"/>
    </font>
    <font>
      <name val="Arial"/>
      <color rgb="FF222222"/>
      <sz val="11"/>
    </font>
    <font>
      <name val="Calibri"/>
      <b val="true"/>
    </font>
    <font>
      <color theme="1"/>
      <sz val="11"/>
    </font>
    <font>
      <b val="true"/>
      <color theme="1"/>
      <sz val="11"/>
    </font>
    <font>
      <name val="Calibri"/>
      <charset val="134"/>
      <family val="2"/>
      <color rgb="FF0563C1"/>
      <u/>
      <scheme val="minor"/>
    </font>
    <font/>
  </fonts>
  <fills count="2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indexed="64"/>
      </patternFill>
    </fill>
    <fill>
      <patternFill patternType="solid">
        <fgColor rgb="FFC3EAD5"/>
        <bgColor auto="true"/>
      </patternFill>
    </fill>
    <fill>
      <patternFill patternType="solid">
        <fgColor rgb="FFFF0000"/>
        <bgColor auto="true"/>
      </patternFill>
    </fill>
    <fill>
      <patternFill patternType="solid">
        <fgColor rgb="FFD8D8D8"/>
        <bgColor auto="true"/>
      </patternFill>
    </fill>
    <fill>
      <patternFill patternType="none"/>
    </fill>
    <fill/>
    <fill>
      <patternFill patternType="solid">
        <fgColor theme="0"/>
        <bgColor indexed="64"/>
      </patternFill>
    </fill>
    <fill>
      <patternFill patternType="solid">
        <fgColor theme="0" tint="-0.149998"/>
        <bgColor indexed="64"/>
      </patternFill>
    </fill>
    <fill>
      <patternFill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7DCFF"/>
        <bgColor auto="true"/>
      </patternFill>
    </fill>
    <fill>
      <patternFill/>
    </fill>
    <fill>
      <patternFill/>
    </fill>
    <fill>
      <patternFill patternType="solid">
        <fgColor rgb="FF8CDDFA"/>
      </patternFill>
    </fill>
    <fill>
      <patternFill patternType="solid">
        <fgColor rgb="FFFFFF00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FFF9E3"/>
        <bgColor auto="true"/>
      </patternFill>
    </fill>
    <fill>
      <patternFill patternType="solid">
        <fgColor rgb="FFE5EFFF"/>
        <bgColor auto="true"/>
      </patternFill>
    </fill>
    <fill>
      <patternFill patternType="solid">
        <fgColor rgb="FFEAFAF1"/>
        <bgColor auto="true"/>
      </patternFill>
    </fill>
  </fills>
  <borders count="43">
    <border>
      <left/>
      <right/>
      <top/>
      <bottom/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CCCCCC"/>
      </bottom>
    </border>
    <border>
      <left style="thin">
        <color rgb="FFCCCCCC"/>
      </left>
      <top style="thin">
        <color rgb="FF000000"/>
      </top>
      <bottom style="thin">
        <color rgb="FFCCCCCC"/>
      </bottom>
    </border>
    <border>
      <right style="thin">
        <color rgb="FFCCCCCC"/>
      </right>
      <top style="thin">
        <color rgb="FF000000"/>
      </top>
      <bottom style="thin">
        <color rgb="FFCCCCCC"/>
      </bottom>
    </border>
    <border>
      <left/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</borders>
  <cellStyleXfs>
    <xf numFmtId="0" fontId="15" fillId="2" borderId="7" xfId="0">
      <alignment vertical="center"/>
    </xf>
    <xf numFmtId="305" fontId="15" fillId="2" borderId="7" xfId="0"/>
    <xf numFmtId="0" fontId="5" fillId="2" borderId="7" xfId="0">
      <alignment vertical="center"/>
    </xf>
  </cellStyleXfs>
  <cellXfs count="17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center" readingOrder="1"/>
    </xf>
    <xf numFmtId="300" fontId="3" fillId="2" borderId="2" xfId="0">
      <alignment vertical="center" readingOrder="1"/>
    </xf>
    <xf numFmtId="0" fontId="4" fillId="2" borderId="3" xfId="0">
      <alignment vertical="center" readingOrder="1"/>
    </xf>
    <xf numFmtId="0" fontId="4" fillId="3" borderId="4" xfId="0">
      <alignment vertical="center" readingOrder="1"/>
    </xf>
    <xf numFmtId="0" fontId="4" fillId="3" borderId="5" xfId="0">
      <alignment vertical="center" readingOrder="1"/>
    </xf>
    <xf numFmtId="301" fontId="4" fillId="3" borderId="5" xfId="0">
      <alignment vertical="center" readingOrder="1"/>
    </xf>
    <xf numFmtId="0" fontId="3" fillId="2" borderId="6" xfId="0">
      <alignment vertical="center" readingOrder="1"/>
    </xf>
    <xf numFmtId="0" fontId="3" fillId="2" borderId="4" xfId="0">
      <alignment vertical="center" readingOrder="1"/>
    </xf>
    <xf numFmtId="0" fontId="3" fillId="2" borderId="5" xfId="0">
      <alignment vertical="center" readingOrder="1"/>
    </xf>
    <xf numFmtId="0" fontId="5" fillId="2" borderId="5" xfId="0">
      <alignment vertical="center" readingOrder="1"/>
    </xf>
    <xf numFmtId="302" fontId="6" fillId="2" borderId="7" xfId="0">
      <alignment vertical="center"/>
    </xf>
    <xf numFmtId="301" fontId="3" fillId="2" borderId="6" xfId="0">
      <alignment vertical="center" readingOrder="1"/>
    </xf>
    <xf numFmtId="0" fontId="5" fillId="2" borderId="4" xfId="0">
      <alignment vertical="center" readingOrder="1"/>
    </xf>
    <xf numFmtId="301" fontId="3" fillId="2" borderId="5" xfId="0">
      <alignment vertical="center" readingOrder="1"/>
    </xf>
    <xf numFmtId="0" fontId="3" fillId="3" borderId="5" xfId="0">
      <alignment vertical="center" readingOrder="1"/>
    </xf>
    <xf numFmtId="0" fontId="4" fillId="2" borderId="4" xfId="0">
      <alignment vertical="center" readingOrder="1"/>
    </xf>
    <xf numFmtId="0" fontId="4" fillId="2" borderId="8" xfId="0">
      <alignment vertical="center" readingOrder="1"/>
    </xf>
    <xf numFmtId="0" fontId="4" fillId="2" borderId="9" xfId="0">
      <alignment vertical="center" readingOrder="1"/>
    </xf>
    <xf numFmtId="301" fontId="4" fillId="2" borderId="9" xfId="0">
      <alignment vertical="center" readingOrder="1"/>
    </xf>
    <xf numFmtId="301" fontId="3" fillId="2" borderId="10" xfId="0">
      <alignment vertical="center" readingOrder="1"/>
    </xf>
    <xf numFmtId="0" fontId="3" fillId="2" borderId="11" xfId="0">
      <alignment vertical="center" readingOrder="1"/>
    </xf>
    <xf numFmtId="0" fontId="3" fillId="2" borderId="2" xfId="0">
      <alignment vertical="center" readingOrder="1"/>
    </xf>
    <xf fontId="0" fillId="4" borderId="0" xfId="0">
      <alignment vertical="center"/>
    </xf>
    <xf numFmtId="301" fontId="0" fillId="4" borderId="0" xfId="0">
      <alignment vertical="center"/>
    </xf>
    <xf numFmtId="301" fontId="7" fillId="4" borderId="0" xfId="0">
      <alignment vertical="center"/>
    </xf>
    <xf fontId="0" fillId="5" borderId="0" xfId="0">
      <alignment vertical="center"/>
    </xf>
    <xf numFmtId="0" fontId="8" fillId="2" borderId="12" xfId="0">
      <alignment vertical="center"/>
    </xf>
    <xf numFmtId="300" fontId="8" fillId="2" borderId="13" xfId="0">
      <alignment vertical="center"/>
    </xf>
    <xf numFmtId="0" fontId="9" fillId="2" borderId="14" xfId="0">
      <alignment vertical="center"/>
    </xf>
    <xf numFmtId="0" fontId="9" fillId="3" borderId="15" xfId="0">
      <alignment vertical="center"/>
    </xf>
    <xf numFmtId="0" fontId="9" fillId="3" borderId="16" xfId="0">
      <alignment vertical="center"/>
    </xf>
    <xf numFmtId="301" fontId="9" fillId="3" borderId="16" xfId="0">
      <alignment vertical="center"/>
    </xf>
    <xf numFmtId="301" fontId="9" fillId="3" borderId="17" xfId="0">
      <alignment vertical="center"/>
    </xf>
    <xf numFmtId="0" fontId="8" fillId="6" borderId="18" xfId="0">
      <alignment vertical="center"/>
    </xf>
    <xf numFmtId="0" fontId="8" fillId="2" borderId="15" xfId="0">
      <alignment vertical="center"/>
    </xf>
    <xf numFmtId="0" fontId="8" fillId="2" borderId="16" xfId="0">
      <alignment vertical="center"/>
    </xf>
    <xf numFmtId="0" fontId="8" fillId="2" borderId="17" xfId="0">
      <alignment vertical="center"/>
    </xf>
    <xf numFmtId="0" fontId="8" fillId="2" borderId="18" xfId="0">
      <alignment vertical="center"/>
    </xf>
    <xf numFmtId="0" fontId="10" fillId="2" borderId="16" xfId="0">
      <alignment vertical="center"/>
    </xf>
    <xf numFmtId="302" fontId="11" fillId="2" borderId="0" xfId="0">
      <alignment vertical="center"/>
    </xf>
    <xf numFmtId="301" fontId="8" fillId="2" borderId="18" xfId="0">
      <alignment vertical="center"/>
    </xf>
    <xf numFmtId="0" fontId="10" fillId="2" borderId="15" xfId="0">
      <alignment vertical="center"/>
    </xf>
    <xf numFmtId="301" fontId="8" fillId="2" borderId="16" xfId="0">
      <alignment vertical="center"/>
    </xf>
    <xf numFmtId="0" fontId="8" fillId="3" borderId="16" xfId="0">
      <alignment vertical="center"/>
    </xf>
    <xf numFmtId="0" fontId="9" fillId="2" borderId="15" xfId="0">
      <alignment vertical="center"/>
    </xf>
    <xf numFmtId="301" fontId="8" fillId="2" borderId="17" xfId="0">
      <alignment vertical="center"/>
    </xf>
    <xf numFmtId="301" fontId="8" fillId="6" borderId="18" xfId="0">
      <alignment vertical="center"/>
    </xf>
    <xf numFmtId="0" fontId="9" fillId="2" borderId="19" xfId="0">
      <alignment vertical="center"/>
    </xf>
    <xf numFmtId="0" fontId="9" fillId="2" borderId="20" xfId="0">
      <alignment vertical="center"/>
    </xf>
    <xf numFmtId="301" fontId="9" fillId="2" borderId="20" xfId="0">
      <alignment vertical="center"/>
    </xf>
    <xf numFmtId="301" fontId="9" fillId="2" borderId="21" xfId="0">
      <alignment vertical="center"/>
    </xf>
    <xf numFmtId="301" fontId="8" fillId="2" borderId="22" xfId="0">
      <alignment vertical="center"/>
    </xf>
    <xf numFmtId="0" fontId="8" fillId="2" borderId="23" xfId="0">
      <alignment vertical="center"/>
    </xf>
    <xf numFmtId="303" fontId="8" fillId="2" borderId="24" xfId="0">
      <alignment horizontal="center" vertical="center"/>
    </xf>
    <xf fontId="0" fillId="0" borderId="25" xfId="0">
      <alignment vertical="center"/>
    </xf>
    <xf numFmtId="303" fontId="8" fillId="2" borderId="13" xfId="0">
      <alignment vertical="center"/>
    </xf>
    <xf numFmtId="303" fontId="12" fillId="2" borderId="24" xfId="0">
      <alignment horizontal="center" vertical="center"/>
    </xf>
    <xf numFmtId="301" fontId="8" fillId="7" borderId="16" xfId="0">
      <alignment vertical="center"/>
    </xf>
    <xf numFmtId="304" fontId="13" fillId="8" borderId="26" xfId="0">
      <alignment vertical="center"/>
    </xf>
    <xf numFmtId="301" fontId="3" fillId="2" borderId="10" xfId="0">
      <alignment vertical="center" wrapText="true" readingOrder="1"/>
    </xf>
    <xf numFmtId="0" fontId="3" fillId="2" borderId="4" xfId="0">
      <alignment vertical="center" wrapText="true" readingOrder="1"/>
    </xf>
    <xf numFmtId="0" fontId="3" fillId="2" borderId="5" xfId="0">
      <alignment vertical="center" wrapText="true" readingOrder="1"/>
    </xf>
    <xf numFmtId="0" fontId="3" fillId="2" borderId="6" xfId="0">
      <alignment vertical="center" wrapText="true" readingOrder="1"/>
    </xf>
    <xf numFmtId="0" fontId="5" fillId="2" borderId="4" xfId="0">
      <alignment vertical="center" wrapText="true" readingOrder="1"/>
    </xf>
    <xf numFmtId="0" fontId="5" fillId="2" borderId="5" xfId="0">
      <alignment vertical="center" wrapText="true" readingOrder="1"/>
    </xf>
    <xf numFmtId="301" fontId="3" fillId="2" borderId="5" xfId="0">
      <alignment vertical="center" wrapText="true" readingOrder="1"/>
    </xf>
    <xf numFmtId="301" fontId="3" fillId="2" borderId="6" xfId="0">
      <alignment vertical="center" wrapText="true" readingOrder="1"/>
    </xf>
    <xf numFmtId="0" fontId="14" fillId="2" borderId="27" xfId="0">
      <alignment vertical="center" wrapText="true"/>
    </xf>
    <xf numFmtId="0" fontId="4" fillId="3" borderId="4" xfId="0">
      <alignment vertical="center" wrapText="true" readingOrder="1"/>
    </xf>
    <xf numFmtId="0" fontId="3" fillId="3" borderId="5" xfId="0">
      <alignment vertical="center" wrapText="true" readingOrder="1"/>
    </xf>
    <xf numFmtId="301" fontId="4" fillId="3" borderId="5" xfId="0">
      <alignment vertical="center" wrapText="true" readingOrder="1"/>
    </xf>
    <xf numFmtId="0" fontId="4" fillId="3" borderId="5" xfId="0">
      <alignment vertical="center" wrapText="true" readingOrder="1"/>
    </xf>
    <xf numFmtId="0" fontId="4" fillId="2" borderId="4" xfId="0">
      <alignment vertical="center" wrapText="true" readingOrder="1"/>
    </xf>
    <xf numFmtId="0" fontId="4" fillId="2" borderId="8" xfId="0">
      <alignment vertical="center" wrapText="true" readingOrder="1"/>
    </xf>
    <xf numFmtId="0" fontId="4" fillId="2" borderId="9" xfId="0">
      <alignment vertical="center" wrapText="true" readingOrder="1"/>
    </xf>
    <xf numFmtId="301" fontId="4" fillId="2" borderId="9" xfId="0">
      <alignment vertical="center" wrapText="true" readingOrder="1"/>
    </xf>
    <xf numFmtId="0" fontId="15" fillId="2" borderId="7" xfId="0">
      <alignment vertical="center" wrapText="true"/>
    </xf>
    <xf numFmtId="0" fontId="16" fillId="9" borderId="7" xfId="0">
      <alignment horizontal="center" vertical="center"/>
    </xf>
    <xf numFmtId="14" fontId="15" fillId="2" borderId="7" xfId="0">
      <alignment vertical="center"/>
    </xf>
    <xf numFmtId="305" fontId="17" fillId="2" borderId="7" xfId="0">
      <alignment vertical="center"/>
    </xf>
    <xf numFmtId="0" fontId="17" fillId="10" borderId="7" xfId="0">
      <alignment vertical="center"/>
    </xf>
    <xf numFmtId="305" fontId="17" fillId="10" borderId="7" xfId="0">
      <alignment vertical="center"/>
    </xf>
    <xf numFmtId="305" fontId="15" fillId="2" borderId="7" xfId="0">
      <alignment vertical="center"/>
    </xf>
    <xf numFmtId="306" fontId="18" fillId="11" borderId="0" xfId="0">
      <alignment vertical="bottom"/>
    </xf>
    <xf numFmtId="305" fontId="19" fillId="2" borderId="27" xfId="0">
      <alignment vertical="center"/>
    </xf>
    <xf numFmtId="305" fontId="8" fillId="7" borderId="0" xfId="0">
      <alignment vertical="center"/>
    </xf>
    <xf numFmtId="305" fontId="8" fillId="2" borderId="0" xfId="0">
      <alignment vertical="center"/>
    </xf>
    <xf numFmtId="0" fontId="20" fillId="2" borderId="7" xfId="0">
      <alignment vertical="center"/>
    </xf>
    <xf numFmtId="307" fontId="3" fillId="2" borderId="7" xfId="0">
      <alignment vertical="center"/>
    </xf>
    <xf numFmtId="307" fontId="21" fillId="12" borderId="7" xfId="0">
      <alignment vertical="center"/>
    </xf>
    <xf numFmtId="0" fontId="15" fillId="10" borderId="7" xfId="0">
      <alignment vertical="center"/>
    </xf>
    <xf numFmtId="305" fontId="22" fillId="13" borderId="7" xfId="0">
      <alignment vertical="center"/>
    </xf>
    <xf numFmtId="0" fontId="17" fillId="2" borderId="7" xfId="0">
      <alignment vertical="center"/>
    </xf>
    <xf numFmtId="305" fontId="23" fillId="2" borderId="7" xfId="0">
      <alignment vertical="center"/>
    </xf>
    <xf numFmtId="305" fontId="17" fillId="13" borderId="7" xfId="0">
      <alignment vertical="center"/>
    </xf>
    <xf numFmtId="0" fontId="22" fillId="2" borderId="7" xfId="0">
      <alignment vertical="center"/>
    </xf>
    <xf numFmtId="305" fontId="14" fillId="2" borderId="27" xfId="0">
      <alignment vertical="center"/>
    </xf>
    <xf fontId="0" fillId="14" borderId="0" xfId="0">
      <alignment vertical="center"/>
    </xf>
    <xf numFmtId="305" fontId="14" fillId="14" borderId="27" xfId="0">
      <alignment vertical="center"/>
    </xf>
    <xf fontId="18" fillId="11" borderId="0" xfId="0">
      <alignment vertical="bottom"/>
    </xf>
    <xf fontId="0" fillId="15" borderId="0" xfId="0">
      <alignment vertical="center"/>
    </xf>
    <xf numFmtId="305" fontId="8" fillId="15" borderId="0" xfId="0">
      <alignment vertical="center"/>
    </xf>
    <xf numFmtId="305" fontId="19" fillId="16" borderId="27" xfId="0">
      <alignment vertical="center"/>
    </xf>
    <xf numFmtId="305" fontId="19" fillId="4" borderId="27" xfId="0">
      <alignment vertical="center"/>
    </xf>
    <xf numFmtId="0" fontId="24" fillId="9" borderId="0" xfId="0">
      <alignment horizontal="center" vertical="center"/>
    </xf>
    <xf numFmtId="14" fontId="8" fillId="2" borderId="28" xfId="0">
      <alignment horizontal="center" vertical="center"/>
    </xf>
    <xf fontId="0" fillId="0" borderId="29" xfId="0">
      <alignment vertical="center"/>
    </xf>
    <xf fontId="0" fillId="0" borderId="30" xfId="0">
      <alignment vertical="center"/>
    </xf>
    <xf numFmtId="305" fontId="9" fillId="2" borderId="28" xfId="0">
      <alignment horizontal="center" vertical="center"/>
    </xf>
    <xf fontId="0" fillId="0" borderId="31" xfId="0">
      <alignment vertical="center"/>
    </xf>
    <xf numFmtId="0" fontId="9" fillId="10" borderId="0" xfId="0">
      <alignment vertical="center"/>
    </xf>
    <xf numFmtId="305" fontId="9" fillId="10" borderId="32" xfId="0">
      <alignment vertical="center"/>
    </xf>
    <xf numFmtId="305" fontId="9" fillId="10" borderId="33" xfId="0">
      <alignment vertical="center"/>
    </xf>
    <xf numFmtId="305" fontId="9" fillId="10" borderId="34" xfId="0">
      <alignment vertical="center"/>
    </xf>
    <xf numFmtId="305" fontId="8" fillId="2" borderId="32" xfId="0">
      <alignment vertical="center"/>
    </xf>
    <xf numFmtId="305" fontId="8" fillId="2" borderId="33" xfId="0">
      <alignment vertical="center"/>
    </xf>
    <xf numFmtId="308" fontId="8" fillId="2" borderId="33" xfId="0">
      <alignment vertical="center"/>
    </xf>
    <xf fontId="12" fillId="0" borderId="34" xfId="0">
      <alignment vertical="center"/>
    </xf>
    <xf numFmtId="305" fontId="12" fillId="0" borderId="34" xfId="0">
      <alignment vertical="center"/>
    </xf>
    <xf numFmtId="0" fontId="8" fillId="2" borderId="0" xfId="0">
      <alignment vertical="center"/>
    </xf>
    <xf numFmtId="307" fontId="8" fillId="2" borderId="32" xfId="0">
      <alignment vertical="center"/>
    </xf>
    <xf numFmtId="307" fontId="8" fillId="2" borderId="33" xfId="0">
      <alignment vertical="center"/>
    </xf>
    <xf numFmtId="307" fontId="25" fillId="12" borderId="32" xfId="0">
      <alignment vertical="center"/>
    </xf>
    <xf numFmtId="308" fontId="25" fillId="12" borderId="33" xfId="0">
      <alignment vertical="center"/>
    </xf>
    <xf numFmtId="307" fontId="25" fillId="12" borderId="33" xfId="0">
      <alignment vertical="center"/>
    </xf>
    <xf numFmtId="307" fontId="25" fillId="17" borderId="33" xfId="0">
      <alignment vertical="center"/>
    </xf>
    <xf numFmtId="307" fontId="26" fillId="12" borderId="32" xfId="0">
      <alignment vertical="center"/>
    </xf>
    <xf numFmtId="307" fontId="26" fillId="12" borderId="33" xfId="0">
      <alignment vertical="center"/>
    </xf>
    <xf numFmtId="308" fontId="12" fillId="0" borderId="33" xfId="0">
      <alignment vertical="center"/>
    </xf>
    <xf numFmtId="305" fontId="8" fillId="17" borderId="33" xfId="0">
      <alignment vertical="center"/>
    </xf>
    <xf numFmtId="305" fontId="8" fillId="18" borderId="33" xfId="0">
      <alignment vertical="center"/>
    </xf>
    <xf numFmtId="305" fontId="12" fillId="2" borderId="32" xfId="0">
      <alignment vertical="center"/>
    </xf>
    <xf numFmtId="305" fontId="12" fillId="2" borderId="33" xfId="0">
      <alignment vertical="center"/>
    </xf>
    <xf numFmtId="305" fontId="8" fillId="7" borderId="32" xfId="0">
      <alignment vertical="center"/>
    </xf>
    <xf numFmtId="305" fontId="8" fillId="7" borderId="33" xfId="0">
      <alignment vertical="center"/>
    </xf>
    <xf fontId="0" fillId="0" borderId="32" xfId="0">
      <alignment vertical="center"/>
    </xf>
    <xf fontId="0" fillId="0" borderId="33" xfId="0">
      <alignment vertical="center"/>
    </xf>
    <xf fontId="0" fillId="0" borderId="35" xfId="0">
      <alignment vertical="center"/>
    </xf>
    <xf fontId="0" fillId="0" borderId="36" xfId="0">
      <alignment vertical="center"/>
    </xf>
    <xf fontId="0" fillId="0" borderId="37" xfId="0">
      <alignment vertical="center"/>
    </xf>
    <xf numFmtId="0" fontId="8" fillId="10" borderId="0" xfId="0">
      <alignment vertical="center"/>
    </xf>
    <xf numFmtId="308" fontId="9" fillId="10" borderId="33" xfId="0">
      <alignment vertical="center"/>
    </xf>
    <xf numFmtId="305" fontId="9" fillId="19" borderId="32" xfId="0">
      <alignment vertical="center"/>
    </xf>
    <xf numFmtId="305" fontId="27" fillId="20" borderId="34" xfId="0">
      <alignment vertical="center"/>
    </xf>
    <xf numFmtId="308" fontId="28" fillId="2" borderId="33" xfId="0">
      <alignment vertical="center"/>
    </xf>
    <xf numFmtId="0" fontId="9" fillId="2" borderId="0" xfId="0">
      <alignment vertical="center"/>
    </xf>
    <xf numFmtId="308" fontId="29" fillId="10" borderId="33" xfId="0">
      <alignment vertical="center"/>
    </xf>
    <xf numFmtId="305" fontId="9" fillId="2" borderId="38" xfId="0">
      <alignment vertical="center"/>
    </xf>
    <xf numFmtId="305" fontId="9" fillId="2" borderId="39" xfId="0">
      <alignment vertical="center"/>
    </xf>
    <xf numFmtId="305" fontId="27" fillId="0" borderId="40" xfId="0">
      <alignment vertical="center"/>
    </xf>
    <xf numFmtId="308" fontId="28" fillId="2" borderId="0" xfId="0">
      <alignment vertical="center"/>
    </xf>
    <xf numFmtId="303" fontId="12" fillId="2" borderId="13" xfId="0">
      <alignment vertical="center"/>
    </xf>
    <xf numFmtId="301" fontId="0" fillId="0" borderId="0" xfId="0">
      <alignment vertical="center"/>
    </xf>
    <xf numFmtId="0" fontId="5" fillId="2" borderId="7" xfId="0">
      <alignment vertical="center"/>
    </xf>
    <xf numFmtId="0" fontId="30" fillId="2" borderId="7" xfId="0">
      <alignment vertical="center"/>
    </xf>
    <xf numFmtId="305" fontId="19" fillId="7" borderId="27" xfId="0">
      <alignment vertical="center"/>
    </xf>
    <xf numFmtId="305" fontId="19" fillId="5" borderId="27" xfId="0">
      <alignment vertical="center"/>
    </xf>
    <xf numFmtId="305" fontId="15" fillId="15" borderId="7" xfId="0">
      <alignment vertical="center"/>
    </xf>
    <xf numFmtId="305" fontId="15" fillId="5" borderId="7" xfId="0">
      <alignment vertical="center"/>
    </xf>
    <xf numFmtId="305" fontId="23" fillId="5" borderId="7" xfId="0">
      <alignment vertical="center"/>
    </xf>
    <xf numFmtId="305" fontId="19" fillId="15" borderId="27" xfId="0">
      <alignment vertical="center"/>
    </xf>
    <xf fontId="0" fillId="21" borderId="0" xfId="0">
      <alignment vertical="center"/>
    </xf>
    <xf numFmtId="305" fontId="15" fillId="21" borderId="7" xfId="0">
      <alignment vertical="center"/>
    </xf>
    <xf fontId="0" fillId="22" borderId="0" xfId="0">
      <alignment vertical="center"/>
    </xf>
    <xf numFmtId="305" fontId="14" fillId="22" borderId="27" xfId="0">
      <alignment vertical="center"/>
    </xf>
    <xf numFmtId="309" fontId="7" fillId="0" borderId="0" xfId="0">
      <alignment vertical="center"/>
    </xf>
    <xf numFmtId="4" fontId="8" fillId="2" borderId="0" xfId="0">
      <alignment vertical="center"/>
    </xf>
    <xf fontId="0" fillId="23" borderId="0" xfId="0">
      <alignment vertical="center"/>
    </xf>
    <xf numFmtId="305" fontId="19" fillId="23" borderId="27" xfId="0">
      <alignment vertical="center"/>
    </xf>
    <xf numFmtId="301" fontId="9" fillId="3" borderId="41" xfId="0">
      <alignment vertical="center"/>
    </xf>
    <xf numFmtId="0" fontId="8" fillId="2" borderId="41" xfId="0">
      <alignment vertical="center"/>
    </xf>
    <xf numFmtId="301" fontId="8" fillId="2" borderId="41" xfId="0">
      <alignment vertical="center"/>
    </xf>
    <xf numFmtId="301" fontId="9" fillId="2" borderId="42" xfId="0">
      <alignment vertical="center"/>
    </xf>
    <xf numFmtId="308" fontId="31" fillId="0" borderId="0" xfId="0">
      <alignment vertical="center"/>
    </xf>
    <xf numFmtId="310" fontId="15" fillId="2" borderId="7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4" Type="http://schemas.openxmlformats.org/officeDocument/2006/relationships/worksheet" Target="worksheets/sheet1.xml" /><Relationship Id="rId3" Type="http://schemas.microsoft.com/office/2017/10/relationships/person" Target="persons/person.xml" /><Relationship Id="rId2" Type="http://schemas.openxmlformats.org/officeDocument/2006/relationships/styles" Target="styles.xml" /><Relationship Id="rId7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worksheet" Target="worksheets/sheet10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Wenta" id="{1FCC083E-B940-4B18-A0E2-D0138401D548}"/>
  <tc2018:person displayName="Malachi | 文太郎" id="{040D274D-0B48-45B7-BE26-FDA8BBE1A0F8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C5" dT="2025-04-29T04:16:56Z" personId="{1FCC083E-B940-4B18-A0E2-D0138401D548}" id="{ECF6F795-CA41-445A-96F4-29131C94BBD4}">
    <tc2018:text>rent increase of 3%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L6" dT="2025-04-29T04:37:20Z" personId="{1FCC083E-B940-4B18-A0E2-D0138401D548}" id="{13F2FB29-4794-4243-8B12-D300221D338F}">
    <tc2018:text>increase by 3%</tc2018:text>
  </tc2018:threadedComment>
  <tc2018:threadedComment ref="L6" dT="2026-07-17T00:44:40Z" personId="{040D274D-0B48-45B7-BE26-FDA8BBE1A0F8}" id="{91DC884D-87C4-40DA-B24F-1A693E009B9F}" parentId="{13F2FB29-4794-4243-8B12-D300221D338F}">
    <tc2018:text>invoice 1009, previously 101844.09</tc2018:text>
  </tc2018:threadedComment>
  <tc2018:threadedComment ref="F6" dT="2026-07-17T00:37:48Z" personId="{040D274D-0B48-45B7-BE26-FDA8BBE1A0F8}" id="{AA320490-3AAA-427F-81B6-D29023A3613C}">
    <tc2018:text>Invoice 1007, previously 98877.76</tc2018:text>
  </tc2018:threadedComment>
  <tc2018:threadedComment ref="C6" dT="2026-07-17T00:36:58Z" personId="{040D274D-0B48-45B7-BE26-FDA8BBE1A0F8}" id="{E5AC332D-99FA-4882-B56F-5B31A9D5892F}">
    <tc2018:text>Invoice 1006, previously 98877.76</tc2018:text>
  </tc2018:threadedComment>
  <tc2018:threadedComment ref="I6" dT="2026-07-17T00:40:33Z" personId="{040D274D-0B48-45B7-BE26-FDA8BBE1A0F8}" id="{E18EC6D3-6A0A-4371-A52D-65B7413B932F}">
    <tc2018:text>Invoice 1008, previously 98877.76</tc2018:text>
  </tc2018:threadedComment>
</tc2018:ThreadedComments>
</file>

<file path=xl/threadedComments/threadedComment3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H6" dT="2026-07-17T00:17:51Z" personId="{040D274D-0B48-45B7-BE26-FDA8BBE1A0F8}" id="{10515845-4875-4638-B7BD-8F349E59B908}">
    <tc2018:text>Invoice 1011</tc2018:text>
  </tc2018:threadedComment>
  <tc2018:threadedComment ref="O6" dT="2025-04-29T04:42:20Z" personId="{1FCC083E-B940-4B18-A0E2-D0138401D548}" id="{E7508115-ABFE-444F-9E49-70296DFD8796}">
    <tc2018:text>increase of 3%</tc2018:text>
  </tc2018:threadedComment>
  <tc2018:threadedComment ref="D6" dT="2025-09-12T04:42:06Z" personId="{1FCC083E-B940-4B18-A0E2-D0138401D548}" id="{88DE75BE-F2FA-429E-9FEE-430F95D43482}">
    <tc2018:text>INV 1010, Overdue 1/9/25</tc2018:text>
  </tc2018:threadedComment>
  <tc2018:threadedComment ref="L6" dT="2026-07-17T00:17:34Z" personId="{040D274D-0B48-45B7-BE26-FDA8BBE1A0F8}" id="{16EB2BF8-F161-4EDA-BFBC-87DF9538CF07}">
    <tc2018:text>Invoice 1012</tc2018:text>
  </tc2018:threadedComment>
</tc2018:ThreadedComments>
</file>

<file path=xl/threadedComments/threadedComment4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K5" dT="2025-05-01T03:59:14Z" personId="{1FCC083E-B940-4B18-A0E2-D0138401D548}" id="{67FC1FD0-8B81-44E7-BE00-2FECACACE403}">
    <tc2018:text>Increase of 3% rent on 1 march 2026</tc2018:text>
  </tc2018:threadedComment>
</tc2018:ThreadedComments>
</file>

<file path=xl/threadedComments/threadedComment5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T18" dT="2026-05-07T02:10:19Z" personId="{040D274D-0B48-45B7-BE26-FDA8BBE1A0F8}" id="{B1F9F5C1-06AF-4886-B7AE-5DB27EF1C201}">
    <tc2018:text>Statement 51</tc2018:text>
  </tc2018:threadedComment>
  <tc2018:threadedComment ref="D6" dT="2025-09-12T04:42:35Z" personId="{1FCC083E-B940-4B18-A0E2-D0138401D548}" id="{1C939B80-82DF-4352-91A9-29D55365550E}">
    <tc2018:text>Agistment, P8095</tc2018:text>
  </tc2018:threadedComment>
  <tc2018:threadedComment ref="H14" dT="2025-09-12T07:07:18Z" personId="{1FCC083E-B940-4B18-A0E2-D0138401D548}" id="{63BB5EC1-0E90-4E5C-BDC8-C65F04E82BDF}">
    <tc2018:text>Statement 24, 3019.95 - 211.39 - 0.28 -1.82 - 1626</tc2018:text>
  </tc2018:threadedComment>
  <tc2018:threadedComment ref="D10" dT="2025-09-12T06:56:21Z" personId="{1FCC083E-B940-4B18-A0E2-D0138401D548}" id="{637A920D-FEFC-4F80-AA9D-A8C16F99F903}">
    <tc2018:text>Statement 22</tc2018:text>
  </tc2018:threadedComment>
  <tc2018:threadedComment ref="I17" dT="2025-10-03T03:30:24Z" personId="{040D274D-0B48-45B7-BE26-FDA8BBE1A0F8}" id="{B23A4AC6-ED78-47BC-9ED9-CD9373B01868}">
    <tc2018:text>Rent Increase of 3%</tc2018:text>
  </tc2018:threadedComment>
  <tc2018:threadedComment ref="Z14" dT="2026-06-10T06:08:34Z" personId="{040D274D-0B48-45B7-BE26-FDA8BBE1A0F8}" id="{EF231DD9-AF57-4BA4-88C9-DA17C8D0F61E}">
    <tc2018:text>Statement 35</tc2018:text>
  </tc2018:threadedComment>
  <tc2018:threadedComment ref="H9" dT="2025-09-11T01:55:31Z" personId="{1FCC083E-B940-4B18-A0E2-D0138401D548}" id="{57E0AEBE-B3F2-4E32-BC80-52C56F49DB9F}">
    <tc2018:text>INV 1026, due 4/10/25</tc2018:text>
  </tc2018:threadedComment>
  <tc2018:threadedComment ref="D17" dT="2025-09-12T04:27:15Z" personId="{1FCC083E-B940-4B18-A0E2-D0138401D548}" id="{589A91CE-D6B9-448F-A7C9-FD1A6A758600}">
    <tc2018:text>5948.80 + 2622.54 - 297.44 - 5.50</tc2018:text>
  </tc2018:threadedComment>
  <tc2018:threadedComment ref="X6" dT="2026-07-16T04:20:03Z" personId="{040D274D-0B48-45B7-BE26-FDA8BBE1A0F8}" id="{DD31A7ED-7D6D-42EC-B9C4-276BDCB9031D}">
    <tc2018:text>https://drive.weixin.qq.com/s?k=ANcAgAdyAEEnMm060d</tc2018:text>
  </tc2018:threadedComment>
  <tc2018:threadedComment ref="J13" dT="2025-09-11T02:08:31Z" personId="{1FCC083E-B940-4B18-A0E2-D0138401D548}" id="{AA852824-CC1B-4A61-8ED7-285C29EB8E71}">
    <tc2018:text>INV 2025, due 4/10/25</tc2018:text>
  </tc2018:threadedComment>
  <tc2018:threadedComment ref="L18" dT="2026-03-24T03:59:53Z" personId="{040D274D-0B48-45B7-BE26-FDA8BBE1A0F8}" id="{52B90B10-6AC6-4A7F-B02E-F1E7E2D03717}">
    <tc2018:text>Paid together next invoice</tc2018:text>
  </tc2018:threadedComment>
  <tc2018:threadedComment ref="S7" dT="2025-06-05T05:09:38Z" personId="{1FCC083E-B940-4B18-A0E2-D0138401D548}" id="{3CE539D2-EC32-4CC1-92F4-17F7DF85AD3F}">
    <tc2018:text>increase of 3 %</tc2018:text>
  </tc2018:threadedComment>
  <tc2018:threadedComment ref="R14" dT="2026-02-04T02:41:23Z" personId="{040D274D-0B48-45B7-BE26-FDA8BBE1A0F8}" id="{E4F4EED3-A427-4FC4-8A6B-CCA04A082E4A}">
    <tc2018:text>Statement 31</tc2018:text>
  </tc2018:threadedComment>
  <tc2018:threadedComment ref="L14" dT="2025-11-03T04:07:04Z" personId="{040D274D-0B48-45B7-BE26-FDA8BBE1A0F8}" id="{69584DE0-2CC9-4549-9B07-FE6D416F725E}">
    <tc2018:text>Statement 26</tc2018:text>
  </tc2018:threadedComment>
  <tc2018:threadedComment ref="V6" dT="2026-06-10T06:02:03Z" personId="{040D274D-0B48-45B7-BE26-FDA8BBE1A0F8}" id="{784E0A3B-873E-4F7B-A704-C0123DB1E7E4}">
    <tc2018:text>https://drive.weixin.qq.com/s?k=ANcAgAdyAEEWVjQ0v1</tc2018:text>
  </tc2018:threadedComment>
  <tc2018:threadedComment ref="I19" dT="2025-04-29T04:03:04Z" personId="{1FCC083E-B940-4B18-A0E2-D0138401D548}" id="{59EC91B7-E553-477A-A0E9-2731BF02D09E}">
    <tc2018:text>rent increase of 3%</tc2018:text>
  </tc2018:threadedComment>
  <tc2018:threadedComment ref="V17" dT="2026-05-07T02:20:14Z" personId="{040D274D-0B48-45B7-BE26-FDA8BBE1A0F8}" id="{34323774-AA53-4363-8C6F-FF3E210A57F2}">
    <tc2018:text>Statement 50</tc2018:text>
  </tc2018:threadedComment>
  <tc2018:threadedComment ref="U8" dT="2025-04-29T01:48:42Z" personId="{1FCC083E-B940-4B18-A0E2-D0138401D548}" id="{EF08E662-0B17-443F-9CDF-E5F9E1E1D0E9}">
    <tc2018:text>increased by 3% on each anniversary as per contract. please advise if 3% of the original amount or of the total</tc2018:text>
  </tc2018:threadedComment>
  <tc2018:threadedComment ref="N14" dT="2026-03-24T03:27:57Z" personId="{040D274D-0B48-45B7-BE26-FDA8BBE1A0F8}" id="{F1879536-8F42-495B-8A67-A015EDFA2802}">
    <tc2018:text>Statement #29</tc2018:text>
  </tc2018:threadedComment>
  <tc2018:threadedComment ref="P18" dT="2026-03-24T03:48:40Z" personId="{040D274D-0B48-45B7-BE26-FDA8BBE1A0F8}" id="{58405969-6A68-482C-A8C9-E93962B86C7B}">
    <tc2018:text>Statement 47</tc2018:text>
  </tc2018:threadedComment>
  <tc2018:threadedComment ref="R6" dT="2026-06-10T06:00:43Z" personId="{040D274D-0B48-45B7-BE26-FDA8BBE1A0F8}" id="{4BF8841A-73CC-46F6-810C-7BCA51BEF844}">
    <tc2018:text>https://drive.weixin.qq.com/s?k=ANcAgAdyAEEPJqkHzH</tc2018:text>
  </tc2018:threadedComment>
  <tc2018:threadedComment ref="D8" dT="2025-09-11T01:49:21Z" personId="{1FCC083E-B940-4B18-A0E2-D0138401D548}" id="{7AD81757-AC4A-4FF9-B6F2-BAF4FE6E432A}">
    <tc2018:text>INV 1024, overdue 2/8/25</tc2018:text>
  </tc2018:threadedComment>
  <tc2018:threadedComment ref="V14" dT="2026-05-07T02:13:34Z" personId="{040D274D-0B48-45B7-BE26-FDA8BBE1A0F8}" id="{C920A13E-84E1-4289-929A-87C5C06DECC0}">
    <tc2018:text>Statement 33</tc2018:text>
  </tc2018:threadedComment>
  <tc2018:threadedComment ref="P6" dT="2026-06-10T06:00:18Z" personId="{040D274D-0B48-45B7-BE26-FDA8BBE1A0F8}" id="{4523FE09-190F-42EE-B1DC-18095AE3EF51}">
    <tc2018:text>https://drive.weixin.qq.com/s?k=ANcAgAdyAEEijDvC7w</tc2018:text>
  </tc2018:threadedComment>
  <tc2018:threadedComment ref="N18" dT="2026-03-24T03:43:55Z" personId="{040D274D-0B48-45B7-BE26-FDA8BBE1A0F8}" id="{71F672F8-D007-4BAF-BB21-8441BA861609}">
    <tc2018:text>Statement 45, Nov + Dec together</tc2018:text>
  </tc2018:threadedComment>
  <tc2018:threadedComment ref="T17" dT="2026-05-07T02:09:07Z" personId="{040D274D-0B48-45B7-BE26-FDA8BBE1A0F8}" id="{982FB801-2D3A-4AD1-972C-4FFB0B73ED5E}">
    <tc2018:text>Statement 50</tc2018:text>
  </tc2018:threadedComment>
  <tc2018:threadedComment ref="T17" dT="2026-05-07T02:11:27Z" personId="{040D274D-0B48-45B7-BE26-FDA8BBE1A0F8}" id="{9392ABF0-6DDB-4A94-9769-39B5ED0906E1}" parentId="{982FB801-2D3A-4AD1-972C-4FFB0B73ED5E}">
    <tc2018:text>Unsure why GST was added in this statement, but not on the others</tc2018:text>
  </tc2018:threadedComment>
  <tc2018:threadedComment ref="R17" dT="2026-03-24T03:48:48Z" personId="{040D274D-0B48-45B7-BE26-FDA8BBE1A0F8}" id="{236635D4-FD3C-4F43-804F-6B1814BF5210}">
    <tc2018:text>Statement 47</tc2018:text>
  </tc2018:threadedComment>
  <tc2018:threadedComment ref="F14" dT="2025-09-12T07:01:20Z" personId="{1FCC083E-B940-4B18-A0E2-D0138401D548}" id="{DACE8DF2-6506-45D9-BC1E-8D743FB91E91}">
    <tc2018:text>Statement 23, 3019.95 - 211.39 - 0.28 - 1.82</tc2018:text>
  </tc2018:threadedComment>
  <tc2018:threadedComment ref="V18" dT="2026-05-07T02:10:33Z" personId="{040D274D-0B48-45B7-BE26-FDA8BBE1A0F8}" id="{A84860AA-525C-4946-8240-803746CC289D}">
    <tc2018:text>Statement 51, paid 4月5月together</tc2018:text>
  </tc2018:threadedComment>
  <tc2018:threadedComment ref="T14" dT="2026-03-24T03:30:22Z" personId="{040D274D-0B48-45B7-BE26-FDA8BBE1A0F8}" id="{7BCCD98C-D06E-44F4-8A3F-EA5AFD98DD1B}">
    <tc2018:text>Statement #32</tc2018:text>
  </tc2018:threadedComment>
  <tc2018:threadedComment ref="J10" dT="2026-02-04T02:46:41Z" personId="{040D274D-0B48-45B7-BE26-FDA8BBE1A0F8}" id="{0EB60F26-42D6-4955-A017-20A5FFC0E66F}">
    <tc2018:text>Statement 27</tc2018:text>
  </tc2018:threadedComment>
  <tc2018:threadedComment ref="J6" dT="2025-12-01T00:28:47Z" personId="{040D274D-0B48-45B7-BE26-FDA8BBE1A0F8}" id="{9C493A3B-2347-4E88-B1A6-A267679A2AC4}">
    <tc2018:text>https://drive.weixin.qq.com/s?k=ANcAgAdyAEEd7nJYlM</tc2018:text>
  </tc2018:threadedComment>
  <tc2018:threadedComment ref="N17" dT="2026-03-24T03:41:53Z" personId="{040D274D-0B48-45B7-BE26-FDA8BBE1A0F8}" id="{97F50E12-36B0-48BE-814F-B147AA9A14C1}">
    <tc2018:text>Statement 45</tc2018:text>
  </tc2018:threadedComment>
  <tc2018:threadedComment ref="T9" dT="2026-07-16T04:42:57Z" personId="{040D274D-0B48-45B7-BE26-FDA8BBE1A0F8}" id="{15DCF722-A075-499A-B66D-BE51DBF9023D}">
    <tc2018:text>Invoice 1030</tc2018:text>
  </tc2018:threadedComment>
  <tc2018:threadedComment ref="P14" dT="2026-06-10T05:14:34Z" personId="{040D274D-0B48-45B7-BE26-FDA8BBE1A0F8}" id="{3E939BB9-E25B-4DE6-858D-8100FCAEB1C3}">
    <tc2018:text>Statement Missing</tc2018:text>
  </tc2018:threadedComment>
  <tc2018:threadedComment ref="X17" dT="2026-05-07T02:19:09Z" personId="{040D274D-0B48-45B7-BE26-FDA8BBE1A0F8}" id="{F5296D42-B4DD-4612-A677-98D210ED8337}">
    <tc2018:text>Statement 52</tc2018:text>
  </tc2018:threadedComment>
  <tc2018:threadedComment ref="H6" dT="2025-10-28T02:55:45Z" personId="{040D274D-0B48-45B7-BE26-FDA8BBE1A0F8}" id="{50AE049F-1789-45D4-BC8B-E92EAD480D5A}">
    <tc2018:text>https://drive.weixin.qq.com/s?k=ANcAgAdyAEEmmcy5AX</tc2018:text>
  </tc2018:threadedComment>
  <tc2018:threadedComment ref="P17" dT="2026-06-10T05:14:41Z" personId="{040D274D-0B48-45B7-BE26-FDA8BBE1A0F8}" id="{4813142B-9C3A-41C8-AF18-B74D370D0001}">
    <tc2018:text>Statement Missing</tc2018:text>
  </tc2018:threadedComment>
  <tc2018:threadedComment ref="I18" dT="2025-04-29T03:55:32Z" personId="{1FCC083E-B940-4B18-A0E2-D0138401D548}" id="{B05FD3A3-C253-40D6-BBA1-0BD1CBF82CCA}">
    <tc2018:text>rent increase of 3%</tc2018:text>
  </tc2018:threadedComment>
  <tc2018:threadedComment ref="I18" dT="2025-10-03T03:37:37Z" personId="{040D274D-0B48-45B7-BE26-FDA8BBE1A0F8}" id="{70153DB9-BB8F-48CE-AF47-6549EE38C3DA}" parentId="{B05FD3A3-C253-40D6-BBA1-0BD1CBF82CCA}">
    <tc2018:text>rent increase on 1/7/26</tc2018:text>
  </tc2018:threadedComment>
  <tc2018:threadedComment ref="T7" dT="2026-07-16T04:42:10Z" personId="{040D274D-0B48-45B7-BE26-FDA8BBE1A0F8}" id="{71787D15-D5AC-4B66-ABF5-90008F6949D4}">
    <tc2018:text>Invoice 1031</tc2018:text>
  </tc2018:threadedComment>
  <tc2018:threadedComment ref="H7" dT="2025-09-11T01:53:36Z" personId="{1FCC083E-B940-4B18-A0E2-D0138401D548}" id="{C12F61B0-81B9-4371-BAEF-80FC1C1CEC6F}">
    <tc2018:text>INV 1027, due 4/10/25</tc2018:text>
  </tc2018:threadedComment>
  <tc2018:threadedComment ref="L6" dT="2026-01-19T02:52:23Z" personId="{040D274D-0B48-45B7-BE26-FDA8BBE1A0F8}" id="{926944F1-0ED0-4A48-B9BF-915D1C945361}">
    <tc2018:text>P8207</tc2018:text>
  </tc2018:threadedComment>
  <tc2018:threadedComment ref="L6" dT="2026-01-19T02:54:01Z" personId="{040D274D-0B48-45B7-BE26-FDA8BBE1A0F8}" id="{58125B27-2D09-4570-9A34-2923A24FAEF9}" parentId="{926944F1-0ED0-4A48-B9BF-915D1C945361}">
    <tc2018:text>https://drive.weixin.qq.com/s?k=ANcAgAdyAEECcVoTM3</tc2018:text>
  </tc2018:threadedComment>
  <tc2018:threadedComment ref="T6" dT="2026-06-10T06:02:18Z" personId="{040D274D-0B48-45B7-BE26-FDA8BBE1A0F8}" id="{E3D081C8-7186-4431-AE42-7B7AD803A1DE}">
    <tc2018:text>https://drive.weixin.qq.com/s?k=ANcAgAdyAEENFNfMMX</tc2018:text>
  </tc2018:threadedComment>
  <tc2018:threadedComment ref="Z17" dT="2026-06-10T06:07:28Z" personId="{040D274D-0B48-45B7-BE26-FDA8BBE1A0F8}" id="{82CD3617-EB02-43D5-B153-FA3EDEE28CAE}">
    <tc2018:text>Statement 54</tc2018:text>
  </tc2018:threadedComment>
  <tc2018:threadedComment ref="L17" dT="2026-02-04T02:39:09Z" personId="{040D274D-0B48-45B7-BE26-FDA8BBE1A0F8}" id="{66479032-2181-465D-82E7-F4D4F6D3908D}">
    <tc2018:text>Statement 44</tc2018:text>
  </tc2018:threadedComment>
  <tc2018:threadedComment ref="Z18" dT="2026-06-10T06:07:10Z" personId="{040D274D-0B48-45B7-BE26-FDA8BBE1A0F8}" id="{FCE2EA8E-8866-4C6A-A430-39D8BD06C0D1}">
    <tc2018:text>Statement 54, extra 80 cents?</tc2018:text>
  </tc2018:threadedComment>
  <tc2018:threadedComment ref="H18" dT="2025-10-03T01:21:49Z" personId="{040D274D-0B48-45B7-BE26-FDA8BBE1A0F8}" id="{E36C8EDA-B8C3-40B1-97F2-2A4C621DAC95}">
    <tc2018:text>Statement 41 18-9-25</tc2018:text>
  </tc2018:threadedComment>
  <tc2018:threadedComment ref="X14" dT="2026-05-07T02:15:29Z" personId="{040D274D-0B48-45B7-BE26-FDA8BBE1A0F8}" id="{2AA6E5B0-F815-49D4-A0E7-AD113735DB75}">
    <tc2018:text>Statement 34</tc2018:text>
  </tc2018:threadedComment>
  <tc2018:threadedComment ref="J14" dT="2025-11-03T04:02:32Z" personId="{040D274D-0B48-45B7-BE26-FDA8BBE1A0F8}" id="{07F8F690-131C-4104-B6ED-7160FB447A44}">
    <tc2018:text>Statement 25</tc2018:text>
  </tc2018:threadedComment>
  <tc2018:threadedComment ref="F18" dT="2025-10-03T01:19:38Z" personId="{040D274D-0B48-45B7-BE26-FDA8BBE1A0F8}" id="{4D516DED-11F0-40A1-828E-A715EC5DB5AC}">
    <tc2018:text>Statement 40 26-8-25</tc2018:text>
  </tc2018:threadedComment>
  <tc2018:threadedComment ref="J18" dT="2025-11-03T03:45:36Z" personId="{040D274D-0B48-45B7-BE26-FDA8BBE1A0F8}" id="{9D674C38-54DC-49B6-9212-CF014B249FF7}">
    <tc2018:text>Statement 44</tc2018:text>
  </tc2018:threadedComment>
  <tc2018:threadedComment ref="G17" dT="2025-04-29T03:49:49Z" personId="{1FCC083E-B940-4B18-A0E2-D0138401D548}" id="{C4491CAD-1221-4935-8AEF-3147FBECD8AD}">
    <tc2018:text>increase of 3% rent</tc2018:text>
  </tc2018:threadedComment>
  <tc2018:threadedComment ref="H17" dT="2025-09-12T04:25:00Z" personId="{1FCC083E-B940-4B18-A0E2-D0138401D548}" id="{71AD643B-BAD8-4A8C-ABAA-13EB7EFE60B8}">
    <tc2018:text>3437.50 + 5948.80 + 14.94 - 469.32 - 5.50</tc2018:text>
  </tc2018:threadedComment>
  <tc2018:threadedComment ref="H17" dT="2025-10-03T01:20:17Z" personId="{040D274D-0B48-45B7-BE26-FDA8BBE1A0F8}" id="{B9960D56-8421-48E2-BDCB-14B4B0FCFF7C}" parentId="{71AD643B-BAD8-4A8C-ABAA-13EB7EFE60B8}">
    <tc2018:text>Statement 40 26-08-25</tc2018:text>
  </tc2018:threadedComment>
  <tc2018:threadedComment ref="F17" dT="2025-09-12T04:30:45Z" personId="{1FCC083E-B940-4B18-A0E2-D0138401D548}" id="{DB4E5544-E13D-4EAE-A1FF-6857F61EB7CE}">
    <tc2018:text>3437.50 + 10.78 - 171.88 - 5.50 - 23.38</tc2018:text>
  </tc2018:threadedComment>
  <tc2018:threadedComment ref="F17" dT="2025-10-03T01:18:01Z" personId="{040D274D-0B48-45B7-BE26-FDA8BBE1A0F8}" id="{D8B2DD16-A627-403C-9AAC-A967A522B714}" parentId="{DB4E5544-E13D-4EAE-A1FF-6857F61EB7CE}">
    <tc2018:text>Statement 39 29-07-25</tc2018:text>
  </tc2018:threadedComment>
  <tc2018:threadedComment ref="S13" dT="2025-06-05T04:26:58Z" personId="{1FCC083E-B940-4B18-A0E2-D0138401D548}" id="{0C7D53F5-E19A-494F-96F0-6A3693263160}">
    <tc2018:text>increase of 3% on anniversary</tc2018:text>
  </tc2018:threadedComment>
  <tc2018:threadedComment ref="J17" dT="2025-10-03T01:30:36Z" personId="{040D274D-0B48-45B7-BE26-FDA8BBE1A0F8}" id="{CC9DC626-4466-4BD4-9F33-A60E6C013CB2}">
    <tc2018:text>Statement 42 1-10-25</tc2018:text>
  </tc2018:threadedComment>
  <tc2018:threadedComment ref="N6" dT="2026-02-04T02:34:01Z" personId="{040D274D-0B48-45B7-BE26-FDA8BBE1A0F8}" id="{050B42EA-D133-4952-85ED-EB698B372E43}">
    <tc2018:text>https://drive.weixin.qq.com/s?k=ANcAgAdyAEEcjdy6bP</tc2018:text>
  </tc2018:threadedComment>
  <tc2018:threadedComment ref="X18" dT="2026-06-10T06:05:37Z" personId="{040D274D-0B48-45B7-BE26-FDA8BBE1A0F8}" id="{65B3C3DE-6EAE-41BB-B80A-3567F1E78640}">
    <tc2018:text>Paid previous month</tc2018:text>
  </tc2018:threadedComment>
  <tc2018:threadedComment ref="D18" dT="2025-10-03T00:53:23Z" personId="{040D274D-0B48-45B7-BE26-FDA8BBE1A0F8}" id="{94737745-992A-4D11-A530-56C624F6E57E}">
    <tc2018:text>Statement 37 03-07-25</tc2018:text>
  </tc2018:threadedComment>
  <tc2018:threadedComment ref="D14" dT="2025-09-12T06:55:52Z" personId="{1FCC083E-B940-4B18-A0E2-D0138401D548}" id="{2E0FD6CE-6377-42A9-A132-8C41B5F94618}">
    <tc2018:text>Statement 22, 2976.50 - 0.28 - 208.35 - 1.82</tc2018:text>
  </tc2018:threadedComment>
  <tc2018:threadedComment ref="R18" dT="2026-03-24T03:54:11Z" personId="{040D274D-0B48-45B7-BE26-FDA8BBE1A0F8}" id="{2BAA2C80-873A-4E13-A2BD-E4DE820373A8}">
    <tc2018:text>Statement 49</tc2018:text>
  </tc2018:threadedComment>
</tc2018:ThreadedComments>
</file>

<file path=xl/threadedComments/threadedComment6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L6" dT="2026-07-17T01:13:07Z" personId="{040D274D-0B48-45B7-BE26-FDA8BBE1A0F8}" id="{74CBF690-170C-4BE4-91BD-31CDCD42CDEE}">
    <tc2018:text>Invoice 1005</tc2018:text>
  </tc2018:threadedComment>
  <tc2018:threadedComment ref="C6" dT="2026-07-17T01:13:24Z" personId="{040D274D-0B48-45B7-BE26-FDA8BBE1A0F8}" id="{0011FB4B-B7E2-4A71-95A3-FEEF91E2A736}">
    <tc2018:text>Invoice 1002</tc2018:text>
  </tc2018:threadedComment>
  <tc2018:threadedComment ref="I6" dT="2026-07-17T01:12:54Z" personId="{040D274D-0B48-45B7-BE26-FDA8BBE1A0F8}" id="{7AAFB378-444E-4FCC-A3DA-5F53E7C358C9}">
    <tc2018:text>Invoice 1004</tc2018:text>
  </tc2018:threadedComment>
  <tc2018:threadedComment ref="F6" dT="2026-07-17T01:12:08Z" personId="{040D274D-0B48-45B7-BE26-FDA8BBE1A0F8}" id="{1C30B892-93F7-4587-BD93-D475787ED56B}">
    <tc2018:text>Invoice 1003</tc2018:text>
  </tc2018:threadedComment>
</tc2018:ThreadedComments>
</file>

<file path=xl/threadedComments/threadedComment7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K7" dT="2025-06-05T05:08:26Z" personId="{1FCC083E-B940-4B18-A0E2-D0138401D548}" id="{BF286328-24FE-4EDE-96D9-B303687705C5}">
    <tc2018:text>increase 3% on march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6" Type="http://schemas.openxmlformats.org/officeDocument/2006/relationships/hyperlink" Target="https://1drv.ms/b/s!AhTHt379LZo6grwN785a2qx9FPr8Iw?e=vpStNc" TargetMode="External"/><Relationship Id="rId1" Type="http://schemas.openxmlformats.org/officeDocument/2006/relationships/comments" Target="../comments3.xml" /><Relationship Id="rId2" Type="http://schemas.microsoft.com/office/2017/10/relationships/threadedComment" Target="../threadedComments/threadedComment3.xml" /><Relationship Id="rId0" Type="http://schemas.openxmlformats.org/officeDocument/2006/relationships/vmlDrawing" Target="../drawings/vmlDrawing3.vml" /><Relationship Id="rId4" Type="http://schemas.openxmlformats.org/officeDocument/2006/relationships/hyperlink" Target="https://1drv.ms/b/s!AhTHt379LZo6grwKtDlMHDCFuigFaQ?e=KOV2aE" TargetMode="External"/><Relationship Id="rId3" Type="http://schemas.openxmlformats.org/officeDocument/2006/relationships/hyperlink" Target="https://1drv.ms/x/s!AhTHt379LZo6gr0uC3aCNP_sGy7C8A?e=mIcDfq" TargetMode="External"/><Relationship Id="rId5" Type="http://schemas.openxmlformats.org/officeDocument/2006/relationships/hyperlink" Target="https://1drv.ms/x/s!AhTHt379LZo6gr0s4frCb70VhShEeA?e=QeMADU" TargetMode="Externa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hyperlink" Target="https://1drv.ms/w/s!AhTHt379LZo6gr1jqAPh618V9Hbtew?e=c9ekoo" TargetMode="External"/><Relationship Id="rId2" Type="http://schemas.microsoft.com/office/2017/10/relationships/threadedComment" Target="../threadedComments/threadedComment4.xml" /><Relationship Id="rId0" Type="http://schemas.openxmlformats.org/officeDocument/2006/relationships/vmlDrawing" Target="../drawings/vmlDrawing4.vml" /><Relationship Id="rId4" Type="http://schemas.openxmlformats.org/officeDocument/2006/relationships/hyperlink" Target="https://1drv.ms/x/s!AhTHt379LZo6gr1cTIlenZR5UqCqSQ?e=9mZmYy" TargetMode="External"/><Relationship Id="rId1" Type="http://schemas.openxmlformats.org/officeDocument/2006/relationships/comments" Target="../comments4.xml" /></Relationships>
</file>

<file path=xl/worksheets/_rels/sheet3.xml.rels><?xml version="1.0" encoding="UTF-8" standalone="yes"?><Relationships xmlns="http://schemas.openxmlformats.org/package/2006/relationships"><Relationship Id="rId8" Type="http://schemas.openxmlformats.org/officeDocument/2006/relationships/hyperlink" Target="https://drive.weixin.qq.com/s?k=ANcAgAdyAEEoTke0LA" TargetMode="External"/><Relationship Id="rId5" Type="http://schemas.openxmlformats.org/officeDocument/2006/relationships/hyperlink" Target="https://drive.weixin.qq.com/s?k=ANcAgAdyAEEBZrBx1f" TargetMode="External"/><Relationship Id="rId1" Type="http://schemas.openxmlformats.org/officeDocument/2006/relationships/comments" Target="../comments5.xml" /><Relationship Id="rId6" Type="http://schemas.openxmlformats.org/officeDocument/2006/relationships/hyperlink" Target="https://drive.weixin.qq.com/s?k=ANcAgAdyAEEODOX50w" TargetMode="External"/><Relationship Id="rId3" Type="http://schemas.openxmlformats.org/officeDocument/2006/relationships/hyperlink" Target="https://drive.weixin.qq.com/s?k=ANcAgAdyAEEjXNaNhs" TargetMode="External"/><Relationship Id="rId9" Type="http://schemas.openxmlformats.org/officeDocument/2006/relationships/hyperlink" Target="https://drive.weixin.qq.com/s?k=ANcAgAdyAEEj928uwt" TargetMode="External"/><Relationship Id="rId0" Type="http://schemas.openxmlformats.org/officeDocument/2006/relationships/vmlDrawing" Target="../drawings/vmlDrawing5.vml" /><Relationship Id="rId10" Type="http://schemas.openxmlformats.org/officeDocument/2006/relationships/hyperlink" Target="https://drive.weixin.qq.com/s?k=ANcAgAdyAEEhv8xU7CAVAA6wZ-ALw" TargetMode="External"/><Relationship Id="rId11" Type="http://schemas.openxmlformats.org/officeDocument/2006/relationships/hyperlink" Target="https://drive.weixin.qq.com/s?k=ANcAgAdyAEEh4vX5SuAVAA6wZ-ALw" TargetMode="External"/><Relationship Id="rId7" Type="http://schemas.openxmlformats.org/officeDocument/2006/relationships/hyperlink" Target="https://drive.weixin.qq.com/s?k=ANcAgAdyAEEj93zGdq" TargetMode="External"/><Relationship Id="rId4" Type="http://schemas.openxmlformats.org/officeDocument/2006/relationships/hyperlink" Target="https://drive.weixin.qq.com/s?k=ANcAgAdyAEEzQXmTLr" TargetMode="External"/><Relationship Id="rId2" Type="http://schemas.microsoft.com/office/2017/10/relationships/threadedComment" Target="../threadedComments/threadedComment5.xml" /></Relationships>
</file>

<file path=xl/worksheets/_rels/sheet4.xml.rels><?xml version="1.0" encoding="UTF-8" standalone="yes"?><Relationships xmlns="http://schemas.openxmlformats.org/package/2006/relationships"><Relationship Id="rId8" Type="http://schemas.openxmlformats.org/officeDocument/2006/relationships/hyperlink" Target="https://drive.weixin.qq.com/s?k=ANcAgAdyAEEjdgYOnW" TargetMode="External"/><Relationship Id="rId6" Type="http://schemas.openxmlformats.org/officeDocument/2006/relationships/hyperlink" Target="https://drive.weixin.qq.com/s?k=ANcAgAdyAEEF2xZk7Y" TargetMode="External"/><Relationship Id="rId4" Type="http://schemas.openxmlformats.org/officeDocument/2006/relationships/hyperlink" Target="https://drive.weixin.qq.com/s?k=ANcAgAdyAEEcufCZi1" TargetMode="External"/><Relationship Id="rId3" Type="http://schemas.openxmlformats.org/officeDocument/2006/relationships/hyperlink" Target="https://drive.weixin.qq.com/s?k=ANcAgAdyAEEulCQV6S" TargetMode="External"/><Relationship Id="rId29" Type="http://schemas.openxmlformats.org/officeDocument/2006/relationships/hyperlink" Target="https://drive.weixin.qq.com/s?k=ANcAgAdyAEEEHNXEnw" TargetMode="External"/><Relationship Id="rId25" Type="http://schemas.openxmlformats.org/officeDocument/2006/relationships/hyperlink" Target="https://drive.weixin.qq.com/s?k=ANcAgAdyAEEPBxIQRd" TargetMode="External"/><Relationship Id="rId5" Type="http://schemas.openxmlformats.org/officeDocument/2006/relationships/hyperlink" Target="https://drive.weixin.qq.com/s?k=ANcAgAdyAEEScPvDJC" TargetMode="External"/><Relationship Id="rId23" Type="http://schemas.openxmlformats.org/officeDocument/2006/relationships/hyperlink" Target="https://drive.weixin.qq.com/s?k=ANcAgAdyAEELvvt2Gt" TargetMode="External"/><Relationship Id="rId26" Type="http://schemas.openxmlformats.org/officeDocument/2006/relationships/hyperlink" Target="https://drive.weixin.qq.com/s?k=ANcAgAdyAEEFbx62CE" TargetMode="External"/><Relationship Id="rId13" Type="http://schemas.openxmlformats.org/officeDocument/2006/relationships/hyperlink" Target="https://drive.weixin.qq.com/s?k=ANcAgAdyAEEh01b0JN" TargetMode="External"/><Relationship Id="rId7" Type="http://schemas.openxmlformats.org/officeDocument/2006/relationships/hyperlink" Target="https://drive.weixin.qq.com/s?k=ANcAgAdyAEEAWB9IkS" TargetMode="External"/><Relationship Id="rId11" Type="http://schemas.openxmlformats.org/officeDocument/2006/relationships/hyperlink" Target="https://drive.weixin.qq.com/s?k=ANcAgAdyAEEA15zrNr" TargetMode="External"/><Relationship Id="rId15" Type="http://schemas.openxmlformats.org/officeDocument/2006/relationships/hyperlink" Target="https://drive.weixin.qq.com/s?k=ANcAgAdyAEEuj6e7W4" TargetMode="External"/><Relationship Id="rId0" Type="http://schemas.openxmlformats.org/officeDocument/2006/relationships/hyperlink" Target="https://drive.weixin.qq.com/s?k=ANcAgAdyAEEIIKA0YJ" TargetMode="External"/><Relationship Id="rId9" Type="http://schemas.openxmlformats.org/officeDocument/2006/relationships/hyperlink" Target="https://drive.weixin.qq.com/s?k=ANcAgAdyAEE0p03TpY" TargetMode="External"/><Relationship Id="rId14" Type="http://schemas.openxmlformats.org/officeDocument/2006/relationships/hyperlink" Target="https://drive.weixin.qq.com/s?k=ANcAgAdyAEE89Kq5aL" TargetMode="External"/><Relationship Id="rId19" Type="http://schemas.openxmlformats.org/officeDocument/2006/relationships/hyperlink" Target="https://drive.weixin.qq.com/s?k=ANcAgAdyAEEGPnU947" TargetMode="External"/><Relationship Id="rId1" Type="http://schemas.openxmlformats.org/officeDocument/2006/relationships/hyperlink" Target="https://drive.weixin.qq.com/s?k=ANcAgAdyAEEUlxx1zJ" TargetMode="External"/><Relationship Id="rId16" Type="http://schemas.openxmlformats.org/officeDocument/2006/relationships/hyperlink" Target="https://drive.weixin.qq.com/s?k=ANcAgAdyAEEUdu1YT3" TargetMode="External"/><Relationship Id="rId27" Type="http://schemas.openxmlformats.org/officeDocument/2006/relationships/hyperlink" Target="https://drive.weixin.qq.com/s?k=ANcAgAdyAEEW1r8Lh4" TargetMode="External"/><Relationship Id="rId17" Type="http://schemas.openxmlformats.org/officeDocument/2006/relationships/hyperlink" Target="https://drive.weixin.qq.com/s?k=ANcAgAdyAEEB8bGPp6" TargetMode="External"/><Relationship Id="rId24" Type="http://schemas.openxmlformats.org/officeDocument/2006/relationships/hyperlink" Target="https://drive.weixin.qq.com/s?k=ANcAgAdyAEECNRhO1W" TargetMode="External"/><Relationship Id="rId20" Type="http://schemas.openxmlformats.org/officeDocument/2006/relationships/hyperlink" Target="https://drive.weixin.qq.com/s?k=ANcAgAdyAEEAcR2erE" TargetMode="External"/><Relationship Id="rId28" Type="http://schemas.openxmlformats.org/officeDocument/2006/relationships/hyperlink" Target="https://drive.weixin.qq.com/s?k=ANcAgAdyAEEAj9T1vW" TargetMode="External"/><Relationship Id="rId12" Type="http://schemas.openxmlformats.org/officeDocument/2006/relationships/hyperlink" Target="https://drive.weixin.qq.com/s?k=ANcAgAdyAEEWbi1zdE" TargetMode="External"/><Relationship Id="rId18" Type="http://schemas.openxmlformats.org/officeDocument/2006/relationships/hyperlink" Target="https://drive.weixin.qq.com/s?k=ANcAgAdyAEEu1yZgA3" TargetMode="External"/><Relationship Id="rId10" Type="http://schemas.openxmlformats.org/officeDocument/2006/relationships/hyperlink" Target="https://drive.weixin.qq.com/s?k=ANcAgAdyAEEo5USBJY" TargetMode="External"/><Relationship Id="rId21" Type="http://schemas.openxmlformats.org/officeDocument/2006/relationships/hyperlink" Target="https://drive.weixin.qq.com/s?k=ANcAgAdyAEEQW1jMmO" TargetMode="External"/><Relationship Id="rId2" Type="http://schemas.openxmlformats.org/officeDocument/2006/relationships/hyperlink" Target="https://drive.weixin.qq.com/s?k=ANcAgAdyAEEHJ1wf8J" TargetMode="External"/><Relationship Id="rId22" Type="http://schemas.openxmlformats.org/officeDocument/2006/relationships/hyperlink" Target="https://drive.weixin.qq.com/s?k=ANcAgAdyAEEFWQA3q2" TargetMode="External"/></Relationships>
</file>

<file path=xl/worksheets/_rels/sheet5.xml.rels><?xml version="1.0" encoding="UTF-8" standalone="yes"?><Relationships xmlns="http://schemas.openxmlformats.org/package/2006/relationships"><Relationship Id="rId6" Type="http://schemas.openxmlformats.org/officeDocument/2006/relationships/hyperlink" Target="https://1drv.ms/b/s!AhTHt379LZo6grwN785a2qx9FPr8Iw?e=vpStNc" TargetMode="External"/><Relationship Id="rId1" Type="http://schemas.openxmlformats.org/officeDocument/2006/relationships/comments" Target="../comments6.xml" /><Relationship Id="rId0" Type="http://schemas.openxmlformats.org/officeDocument/2006/relationships/vmlDrawing" Target="../drawings/vmlDrawing6.vml" /><Relationship Id="rId4" Type="http://schemas.openxmlformats.org/officeDocument/2006/relationships/hyperlink" Target="https://1drv.ms/b/s!AhTHt379LZo6grwKtDlMHDCFuigFaQ?e=KOV2aE" TargetMode="External"/><Relationship Id="rId2" Type="http://schemas.microsoft.com/office/2017/10/relationships/threadedComment" Target="../threadedComments/threadedComment6.xml" /><Relationship Id="rId3" Type="http://schemas.openxmlformats.org/officeDocument/2006/relationships/hyperlink" Target="https://1drv.ms/x/s!AhTHt379LZo6gr0uC3aCNP_sGy7C8A?e=mIcDfq" TargetMode="External"/><Relationship Id="rId5" Type="http://schemas.openxmlformats.org/officeDocument/2006/relationships/hyperlink" Target="https://1drv.ms/x/s!AhTHt379LZo6gr0s4frCb70VhShEeA?e=QeMADU" TargetMode="External"/></Relationships>
</file>

<file path=xl/worksheets/_rels/sheet6.xml.rels><?xml version="1.0" encoding="UTF-8" standalone="yes"?><Relationships xmlns="http://schemas.openxmlformats.org/package/2006/relationships"><Relationship Id="rId9" Type="http://schemas.openxmlformats.org/officeDocument/2006/relationships/hyperlink" Target="https://drive.weixin.qq.com/s?k=ANcAgAdyAEEoTke0LA" TargetMode="External"/><Relationship Id="rId8" Type="http://schemas.openxmlformats.org/officeDocument/2006/relationships/hyperlink" Target="https://drive.weixin.qq.com/s?k=ANcAgAdyAEEj93zGdq" TargetMode="External"/><Relationship Id="rId6" Type="http://schemas.openxmlformats.org/officeDocument/2006/relationships/hyperlink" Target="https://drive.weixin.qq.com/s?k=ANcAgAdyAEEBZrBx1f" TargetMode="External"/><Relationship Id="rId5" Type="http://schemas.openxmlformats.org/officeDocument/2006/relationships/hyperlink" Target="https://drive.weixin.qq.com/s?k=ANcAgAdyAEEzQXmTLr" TargetMode="External"/><Relationship Id="rId4" Type="http://schemas.openxmlformats.org/officeDocument/2006/relationships/hyperlink" Target="https://drive.weixin.qq.com/s?k=ANcAgAdyAEEHJ1wf8J" TargetMode="External"/><Relationship Id="rId12" Type="http://schemas.openxmlformats.org/officeDocument/2006/relationships/hyperlink" Target="https://drive.weixin.qq.com/s?k=ANcAgAdyAEEavZOJf1" TargetMode="External"/><Relationship Id="rId14" Type="http://schemas.openxmlformats.org/officeDocument/2006/relationships/hyperlink" Target="https://drive.weixin.qq.com/s?k=ANcAgAdyAEEIc9xCsl" TargetMode="External"/><Relationship Id="rId11" Type="http://schemas.openxmlformats.org/officeDocument/2006/relationships/hyperlink" Target="https://drive.weixin.qq.com/s?k=ANcAgAdyAEEVU1KWtb" TargetMode="External"/><Relationship Id="rId18" Type="http://schemas.openxmlformats.org/officeDocument/2006/relationships/hyperlink" Target="https://drive.weixin.qq.com/s?k=ANcAgAdyAEE11ZPRbv" TargetMode="External"/><Relationship Id="rId10" Type="http://schemas.openxmlformats.org/officeDocument/2006/relationships/hyperlink" Target="https://drive.weixin.qq.com/s?k=ANcAgAdyAEEj928uwt" TargetMode="External"/><Relationship Id="rId3" Type="http://schemas.openxmlformats.org/officeDocument/2006/relationships/hyperlink" Target="https://drive.weixin.qq.com/s?k=ANcAgAdyAEEjXNaNhs" TargetMode="External"/><Relationship Id="rId0" Type="http://schemas.openxmlformats.org/officeDocument/2006/relationships/vmlDrawing" Target="../drawings/vmlDrawing7.vml" /><Relationship Id="rId21" Type="http://schemas.openxmlformats.org/officeDocument/2006/relationships/hyperlink" Target="https://drive.weixin.qq.com/s?k=ANcAgAdyAEE10jIYEI" TargetMode="External"/><Relationship Id="rId13" Type="http://schemas.openxmlformats.org/officeDocument/2006/relationships/hyperlink" Target="https://drive.weixin.qq.com/s?k=ANcAgAdyAEEnXbxFYc" TargetMode="External"/><Relationship Id="rId19" Type="http://schemas.openxmlformats.org/officeDocument/2006/relationships/hyperlink" Target="https://drive.weixin.qq.com/s?k=ANcAgAdyAEEDrq7yv1" TargetMode="External"/><Relationship Id="rId1" Type="http://schemas.openxmlformats.org/officeDocument/2006/relationships/comments" Target="../comments7.xml" /><Relationship Id="rId20" Type="http://schemas.openxmlformats.org/officeDocument/2006/relationships/hyperlink" Target="https://drive.weixin.qq.com/s?k=ANcAgAdyAEEeI1lOLr" TargetMode="External"/><Relationship Id="rId15" Type="http://schemas.openxmlformats.org/officeDocument/2006/relationships/hyperlink" Target="https://drive.weixin.qq.com/s?k=ANcAgAdyAEETLW805C" TargetMode="External"/><Relationship Id="rId17" Type="http://schemas.openxmlformats.org/officeDocument/2006/relationships/hyperlink" Target="https://drive.weixin.qq.com/s?k=ANcAgAdyAEE8qvSvf3" TargetMode="External"/><Relationship Id="rId7" Type="http://schemas.openxmlformats.org/officeDocument/2006/relationships/hyperlink" Target="https://drive.weixin.qq.com/s?k=ANcAgAdyAEEODOX50w" TargetMode="External"/><Relationship Id="rId2" Type="http://schemas.microsoft.com/office/2017/10/relationships/threadedComment" Target="../threadedComments/threadedComment7.xml" /><Relationship Id="rId16" Type="http://schemas.openxmlformats.org/officeDocument/2006/relationships/hyperlink" Target="https://drive.weixin.qq.com/s?k=ANcAgAdyAEEzWqhAGt" TargetMode="External"/><Relationship Id="rId22" Type="http://schemas.openxmlformats.org/officeDocument/2006/relationships/hyperlink" Target="https://drive.weixin.qq.com/s?k=ANcAgAdyAEE1AlmgR6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https://1drv.ms/b/s!AhTHt379LZo6gr1afYdD7XUb8s8mng?e=d6tf0x" TargetMode="External"/><Relationship Id="rId0" Type="http://schemas.openxmlformats.org/officeDocument/2006/relationships/hyperlink" Target="https://1drv.ms/x/s!AhTHt379LZo6gr1ZDrshoE8sJaqkAw?e=s54RKO" TargetMode="External"/></Relationships>
</file>

<file path=xl/worksheets/_rels/sheet8.xml.rels><?xml version="1.0" encoding="UTF-8" standalone="yes"?><Relationships xmlns="http://schemas.openxmlformats.org/package/2006/relationships"><Relationship Id="rId4" Type="http://schemas.openxmlformats.org/officeDocument/2006/relationships/hyperlink" Target="https://1drv.ms/x/s!AhTHt379LZo6gr1cTIlenZR5UqCqSQ?e=9mZmYy" TargetMode="External"/><Relationship Id="rId3" Type="http://schemas.openxmlformats.org/officeDocument/2006/relationships/hyperlink" Target="https://1drv.ms/w/s!AhTHt379LZo6gr1jqAPh618V9Hbtew?e=c9ekoo" TargetMode="External"/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https://1drv.ms/x/s!AhTHt379LZo6gr1cTIlenZR5UqCqSQ?e=9mZmYy" TargetMode="External"/><Relationship Id="rId0" Type="http://schemas.openxmlformats.org/officeDocument/2006/relationships/hyperlink" Target="https://1drv.ms/w/s!AhTHt379LZo6gr1jqAPh618V9Hbtew?e=c9ekoo" TargetMode="External"/></Relationships>
</file>

<file path=xl/worksheets/_rels/sheet10.xml.rels><?xml version="1.0" encoding="UTF-8" standalone="yes"?><Relationships xmlns="http://schemas.openxmlformats.org/package/2006/relationships"><Relationship Id="rId6" Type="http://schemas.openxmlformats.org/officeDocument/2006/relationships/hyperlink" Target="https://1drv.ms/b/s!AhTHt379LZo6grwN785a2qx9FPr8Iw?e=vpStNc" TargetMode="External"/><Relationship Id="rId1" Type="http://schemas.openxmlformats.org/officeDocument/2006/relationships/comments" Target="../comments2.xml" /><Relationship Id="rId0" Type="http://schemas.openxmlformats.org/officeDocument/2006/relationships/vmlDrawing" Target="../drawings/vmlDrawing2.vml" /><Relationship Id="rId5" Type="http://schemas.openxmlformats.org/officeDocument/2006/relationships/hyperlink" Target="https://1drv.ms/x/s!AhTHt379LZo6gr0s4frCb70VhShEeA?e=QeMADU" TargetMode="External"/><Relationship Id="rId2" Type="http://schemas.microsoft.com/office/2017/10/relationships/threadedComment" Target="../threadedComments/threadedComment2.xml" /><Relationship Id="rId3" Type="http://schemas.openxmlformats.org/officeDocument/2006/relationships/hyperlink" Target="https://1drv.ms/x/s!AhTHt379LZo6gr0uC3aCNP_sGy7C8A?e=mIcDfq" TargetMode="External"/><Relationship Id="rId4" Type="http://schemas.openxmlformats.org/officeDocument/2006/relationships/hyperlink" Target="https://1drv.ms/b/s!AhTHt379LZo6grwKtDlMHDCFuigFaQ?e=KOV2a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arvest Cash Flow Budget 2026">
    <tabColor rgb="FFFFFFFF"/>
  </sheetPr>
  <dimension ref="S30"/>
  <sheetViews>
    <sheetView showGridLines="true" workbookViewId="0"/>
  </sheetViews>
  <sheetData>
    <row r="1" spans="1:19">
      <c r="A1" s="56" t="s">
        <v>29</v>
      </c>
      <c r="B1" s="30" t="s"/>
      <c r="C1" s="57">
        <v>45839</v>
      </c>
      <c r="D1" s="58" t="s"/>
      <c r="E1" s="59">
        <v>45870</v>
      </c>
      <c r="F1" s="59">
        <v>45901</v>
      </c>
      <c r="G1" s="60">
        <v>45931</v>
      </c>
      <c r="H1" s="58" t="s"/>
      <c r="I1" s="59">
        <v>45962</v>
      </c>
      <c r="J1" s="59">
        <v>45992</v>
      </c>
      <c r="K1" s="57">
        <v>46023</v>
      </c>
      <c r="L1" s="58" t="s"/>
      <c r="M1" s="59">
        <v>46054</v>
      </c>
      <c r="N1" s="59">
        <v>46082</v>
      </c>
      <c r="O1" s="57">
        <v>46113</v>
      </c>
      <c r="P1" s="58" t="s"/>
      <c r="Q1" s="59">
        <v>46143</v>
      </c>
      <c r="R1" s="59">
        <v>46174</v>
      </c>
      <c r="S1" s="32" t="s">
        <v>14</v>
      </c>
    </row>
    <row r="2" spans="1:19">
      <c r="A2" s="33" t="s">
        <v>15</v>
      </c>
      <c r="B2" s="34" t="s"/>
      <c r="C2" s="35">
        <v>150000</v>
      </c>
      <c r="D2" s="35" t="s"/>
      <c r="E2" s="35">
        <v>238363.72</v>
      </c>
      <c r="F2" s="35">
        <v>236838.57</v>
      </c>
      <c r="G2" s="35">
        <v>235313.42</v>
      </c>
      <c r="H2" s="35" t="s"/>
      <c r="I2" s="35">
        <v>322877.14</v>
      </c>
      <c r="J2" s="35">
        <v>321351.99</v>
      </c>
      <c r="K2" s="35">
        <v>319826.84</v>
      </c>
      <c r="L2" s="35" t="s"/>
      <c r="M2" s="35">
        <v>408190.56</v>
      </c>
      <c r="N2" s="35">
        <v>405865.41</v>
      </c>
      <c r="O2" s="35">
        <v>378885.71</v>
      </c>
      <c r="P2" s="35" t="s"/>
      <c r="Q2" s="35">
        <v>467249.44</v>
      </c>
      <c r="R2" s="35">
        <v>465724.29</v>
      </c>
      <c r="S2" s="41" t="s"/>
    </row>
    <row r="3" spans="1:19">
      <c r="A3" s="38" t="s">
        <v>16</v>
      </c>
      <c r="B3" s="39" t="s"/>
      <c r="C3" s="39" t="s"/>
      <c r="D3" s="39" t="s"/>
      <c r="E3" s="39" t="s"/>
      <c r="F3" s="39" t="s"/>
      <c r="G3" s="39" t="s"/>
      <c r="H3" s="39" t="s"/>
      <c r="I3" s="39" t="s"/>
      <c r="J3" s="39" t="s"/>
      <c r="K3" s="39" t="s"/>
      <c r="L3" s="39" t="s"/>
      <c r="M3" s="39" t="s"/>
      <c r="N3" s="39" t="s"/>
      <c r="O3" s="39" t="s"/>
      <c r="P3" s="39" t="s"/>
      <c r="Q3" s="39" t="s"/>
      <c r="R3" s="39" t="s"/>
      <c r="S3" s="41" t="s"/>
    </row>
    <row r="4" spans="1:19">
      <c r="A4" s="38" t="s">
        <v>30</v>
      </c>
      <c r="B4" s="39" t="s"/>
      <c r="C4" s="39" t="s"/>
      <c r="D4" s="39" t="s"/>
      <c r="E4" s="39" t="s"/>
      <c r="F4" s="39" t="s"/>
      <c r="G4" s="39" t="s"/>
      <c r="H4" s="39" t="s"/>
      <c r="I4" s="39" t="s"/>
      <c r="J4" s="39" t="s"/>
      <c r="K4" s="39" t="s"/>
      <c r="L4" s="39" t="s"/>
      <c r="M4" s="39" t="s"/>
      <c r="N4" s="39" t="s"/>
      <c r="O4" s="39" t="s"/>
      <c r="P4" s="39" t="s"/>
      <c r="Q4" s="39" t="s"/>
      <c r="R4" s="39" t="s"/>
      <c r="S4" s="41" t="s"/>
    </row>
    <row r="5" spans="1:19">
      <c r="A5" s="45" t="s">
        <v>19</v>
      </c>
      <c r="B5" s="42" t="s">
        <v>31</v>
      </c>
      <c r="C5" s="39" t="s"/>
      <c r="D5" s="39" t="s"/>
      <c r="E5" s="39" t="s"/>
      <c r="F5" s="39" t="s"/>
      <c r="G5" s="39" t="s"/>
      <c r="H5" s="39" t="s"/>
      <c r="I5" s="39" t="s"/>
      <c r="J5" s="39" t="s"/>
      <c r="K5" s="39" t="s"/>
      <c r="L5" s="39" t="s"/>
      <c r="M5" s="39" t="s"/>
      <c r="N5" s="39" t="s"/>
      <c r="O5" s="39" t="s"/>
      <c r="P5" s="39" t="s"/>
      <c r="Q5" s="39" t="s"/>
      <c r="R5" s="46">
        <v>206231.62</v>
      </c>
      <c r="S5" s="44">
        <v>206231.62</v>
      </c>
    </row>
    <row r="6" spans="1:19">
      <c r="A6" s="45" t="s">
        <v>19</v>
      </c>
      <c r="B6" s="42" t="s">
        <v>32</v>
      </c>
      <c r="C6" s="46">
        <v>101844.09</v>
      </c>
      <c r="D6" s="61">
        <v>106844.09</v>
      </c>
      <c r="E6" s="39" t="s"/>
      <c r="F6" s="39" t="s"/>
      <c r="G6" s="46">
        <v>101844.09</v>
      </c>
      <c r="H6" s="62">
        <v>106019.71</v>
      </c>
      <c r="I6" s="39" t="s"/>
      <c r="J6" s="39" t="s"/>
      <c r="K6" s="46">
        <v>101844.09</v>
      </c>
      <c r="L6" s="62">
        <v>106019.71</v>
      </c>
      <c r="M6" s="39" t="s"/>
      <c r="N6" s="39" t="s"/>
      <c r="O6" s="46">
        <f>=101844.09*1.03</f>
        <v>104899.4127</v>
      </c>
      <c r="P6" s="39" t="s"/>
      <c r="Q6" s="39" t="s"/>
      <c r="R6" s="39" t="s"/>
      <c r="S6" s="44">
        <f>=SUM(D6+H6+L6+P6)</f>
        <v>318883.51</v>
      </c>
    </row>
    <row r="7" spans="1:19">
      <c r="A7" s="38" t="s"/>
      <c r="B7" s="39" t="s"/>
      <c r="C7" s="39" t="s"/>
      <c r="D7" s="39" t="s"/>
      <c r="E7" s="39" t="s"/>
      <c r="F7" s="39" t="s"/>
      <c r="G7" s="39" t="s"/>
      <c r="H7" s="39" t="s"/>
      <c r="I7" s="39" t="s"/>
      <c r="J7" s="39" t="s"/>
      <c r="K7" s="39" t="s"/>
      <c r="L7" s="39" t="s"/>
      <c r="M7" s="39" t="s"/>
      <c r="N7" s="39" t="s"/>
      <c r="O7" s="39" t="s"/>
      <c r="P7" s="39" t="s"/>
      <c r="Q7" s="39" t="s"/>
      <c r="R7" s="39" t="s"/>
      <c r="S7" s="41" t="s"/>
    </row>
    <row r="8" spans="1:19">
      <c r="A8" s="38" t="s"/>
      <c r="B8" s="39" t="s"/>
      <c r="C8" s="39" t="s"/>
      <c r="D8" s="39" t="s"/>
      <c r="E8" s="39" t="s"/>
      <c r="F8" s="39" t="s"/>
      <c r="G8" s="39" t="s"/>
      <c r="H8" s="39" t="s"/>
      <c r="I8" s="39" t="s"/>
      <c r="J8" s="39" t="s"/>
      <c r="K8" s="39" t="s"/>
      <c r="L8" s="39" t="s"/>
      <c r="M8" s="39" t="s"/>
      <c r="N8" s="39" t="s"/>
      <c r="O8" s="39" t="s"/>
      <c r="P8" s="39" t="s"/>
      <c r="Q8" s="39" t="s"/>
      <c r="R8" s="39" t="s"/>
      <c r="S8" s="41" t="s"/>
    </row>
    <row r="9" spans="1:19">
      <c r="A9" s="38" t="s"/>
      <c r="B9" s="39" t="s"/>
      <c r="C9" s="39" t="s"/>
      <c r="D9" s="39" t="s"/>
      <c r="E9" s="39" t="s"/>
      <c r="F9" s="39" t="s"/>
      <c r="G9" s="39" t="s"/>
      <c r="H9" s="39" t="s"/>
      <c r="I9" s="39" t="s"/>
      <c r="J9" s="39" t="s"/>
      <c r="K9" s="39" t="s"/>
      <c r="L9" s="39" t="s"/>
      <c r="M9" s="39" t="s"/>
      <c r="N9" s="39" t="s"/>
      <c r="O9" s="39" t="s"/>
      <c r="P9" s="39" t="s"/>
      <c r="Q9" s="39" t="s"/>
      <c r="R9" s="39" t="s"/>
      <c r="S9" s="41" t="s"/>
    </row>
    <row r="10" spans="1:19">
      <c r="A10" s="38" t="s"/>
      <c r="B10" s="39" t="s"/>
      <c r="C10" s="39" t="s"/>
      <c r="D10" s="39" t="s"/>
      <c r="E10" s="39" t="s"/>
      <c r="F10" s="39" t="s"/>
      <c r="G10" s="39" t="s"/>
      <c r="H10" s="39" t="s"/>
      <c r="I10" s="39" t="s"/>
      <c r="J10" s="39" t="s"/>
      <c r="K10" s="39" t="s"/>
      <c r="L10" s="39" t="s"/>
      <c r="M10" s="39" t="s"/>
      <c r="N10" s="39" t="s"/>
      <c r="O10" s="39" t="s"/>
      <c r="P10" s="39" t="s"/>
      <c r="Q10" s="39" t="s"/>
      <c r="R10" s="39" t="s"/>
      <c r="S10" s="41" t="s"/>
    </row>
    <row r="11" spans="1:19">
      <c r="A11" s="38" t="s"/>
      <c r="B11" s="39" t="s"/>
      <c r="C11" s="39" t="s"/>
      <c r="D11" s="39" t="s"/>
      <c r="E11" s="39" t="s"/>
      <c r="F11" s="39" t="s"/>
      <c r="G11" s="39" t="s"/>
      <c r="H11" s="39" t="s"/>
      <c r="I11" s="39" t="s"/>
      <c r="J11" s="39" t="s"/>
      <c r="K11" s="39" t="s"/>
      <c r="L11" s="39" t="s"/>
      <c r="M11" s="39" t="s"/>
      <c r="N11" s="39" t="s"/>
      <c r="O11" s="39" t="s"/>
      <c r="P11" s="39" t="s"/>
      <c r="Q11" s="39" t="s"/>
      <c r="R11" s="39" t="s"/>
      <c r="S11" s="41" t="s"/>
    </row>
    <row r="12" spans="1:19">
      <c r="A12" s="38" t="s"/>
      <c r="B12" s="39" t="s"/>
      <c r="C12" s="39" t="s"/>
      <c r="D12" s="39" t="s"/>
      <c r="E12" s="39" t="s"/>
      <c r="F12" s="39" t="s"/>
      <c r="G12" s="39" t="s"/>
      <c r="H12" s="39" t="s"/>
      <c r="I12" s="39" t="s"/>
      <c r="J12" s="39" t="s"/>
      <c r="K12" s="39" t="s"/>
      <c r="L12" s="39" t="s"/>
      <c r="M12" s="39" t="s"/>
      <c r="N12" s="39" t="s"/>
      <c r="O12" s="39" t="s"/>
      <c r="P12" s="39" t="s"/>
      <c r="Q12" s="39" t="s"/>
      <c r="R12" s="39" t="s"/>
      <c r="S12" s="41" t="s"/>
    </row>
    <row r="13" spans="1:19">
      <c r="A13" s="38" t="s"/>
      <c r="B13" s="39" t="s"/>
      <c r="C13" s="39" t="s"/>
      <c r="D13" s="39" t="s"/>
      <c r="E13" s="39" t="s"/>
      <c r="F13" s="39" t="s"/>
      <c r="G13" s="39" t="s"/>
      <c r="H13" s="39" t="s"/>
      <c r="I13" s="39" t="s"/>
      <c r="J13" s="39" t="s"/>
      <c r="K13" s="39" t="s"/>
      <c r="L13" s="39" t="s"/>
      <c r="M13" s="39" t="s"/>
      <c r="N13" s="39" t="s"/>
      <c r="O13" s="39" t="s"/>
      <c r="P13" s="39" t="s"/>
      <c r="Q13" s="39" t="s"/>
      <c r="R13" s="39" t="s"/>
      <c r="S13" s="41" t="s"/>
    </row>
    <row r="14" spans="1:19">
      <c r="A14" s="38" t="s"/>
      <c r="B14" s="39" t="s"/>
      <c r="C14" s="39" t="s"/>
      <c r="D14" s="39" t="s"/>
      <c r="E14" s="39" t="s"/>
      <c r="F14" s="39" t="s"/>
      <c r="G14" s="39" t="s"/>
      <c r="H14" s="39" t="s"/>
      <c r="I14" s="39" t="s"/>
      <c r="J14" s="39" t="s"/>
      <c r="K14" s="39" t="s"/>
      <c r="L14" s="39" t="s"/>
      <c r="M14" s="39" t="s"/>
      <c r="N14" s="39" t="s"/>
      <c r="O14" s="39" t="s"/>
      <c r="P14" s="39" t="s"/>
      <c r="Q14" s="39" t="s"/>
      <c r="R14" s="39" t="s"/>
      <c r="S14" s="41" t="s"/>
    </row>
    <row r="15" spans="1:19">
      <c r="A15" s="38" t="s"/>
      <c r="B15" s="39" t="s"/>
      <c r="C15" s="39" t="s"/>
      <c r="D15" s="39" t="s"/>
      <c r="E15" s="39" t="s"/>
      <c r="F15" s="39" t="s"/>
      <c r="G15" s="39" t="s"/>
      <c r="H15" s="39" t="s"/>
      <c r="I15" s="39" t="s"/>
      <c r="J15" s="39" t="s"/>
      <c r="K15" s="39" t="s"/>
      <c r="L15" s="39" t="s"/>
      <c r="M15" s="39" t="s"/>
      <c r="N15" s="39" t="s"/>
      <c r="O15" s="39" t="s"/>
      <c r="P15" s="39" t="s"/>
      <c r="Q15" s="39" t="s"/>
      <c r="R15" s="39" t="s"/>
      <c r="S15" s="41" t="s"/>
    </row>
    <row r="16" spans="1:19">
      <c r="A16" s="38" t="s"/>
      <c r="B16" s="39" t="s"/>
      <c r="C16" s="39" t="s"/>
      <c r="D16" s="39" t="s"/>
      <c r="E16" s="39" t="s"/>
      <c r="F16" s="39" t="s"/>
      <c r="G16" s="39" t="s"/>
      <c r="H16" s="39" t="s"/>
      <c r="I16" s="39" t="s"/>
      <c r="J16" s="39" t="s"/>
      <c r="K16" s="39" t="s"/>
      <c r="L16" s="39" t="s"/>
      <c r="M16" s="39" t="s"/>
      <c r="N16" s="39" t="s"/>
      <c r="O16" s="39" t="s"/>
      <c r="P16" s="39" t="s"/>
      <c r="Q16" s="39" t="s"/>
      <c r="R16" s="39" t="s"/>
      <c r="S16" s="41" t="s"/>
    </row>
    <row r="17" spans="1:19">
      <c r="A17" s="33" t="s">
        <v>20</v>
      </c>
      <c r="B17" s="47" t="s"/>
      <c r="C17" s="35">
        <v>98877.76</v>
      </c>
      <c r="D17" s="35" t="s"/>
      <c r="E17" s="34" t="s">
        <v>33</v>
      </c>
      <c r="F17" s="34" t="s">
        <v>33</v>
      </c>
      <c r="G17" s="35">
        <v>98877.76</v>
      </c>
      <c r="H17" s="35" t="s"/>
      <c r="I17" s="34" t="s">
        <v>33</v>
      </c>
      <c r="J17" s="34" t="s">
        <v>33</v>
      </c>
      <c r="K17" s="35">
        <v>98877.76</v>
      </c>
      <c r="L17" s="35" t="s"/>
      <c r="M17" s="34" t="s">
        <v>33</v>
      </c>
      <c r="N17" s="34" t="s">
        <v>33</v>
      </c>
      <c r="O17" s="35">
        <f>=O6</f>
        <v>104899.4127</v>
      </c>
      <c r="P17" s="34" t="s"/>
      <c r="Q17" s="34" t="s">
        <v>33</v>
      </c>
      <c r="R17" s="35">
        <v>206231.62</v>
      </c>
      <c r="S17" s="44">
        <f>=SUM(C17:R17)</f>
        <v>607764.3127</v>
      </c>
    </row>
    <row r="18" spans="1:19">
      <c r="A18" s="38" t="s"/>
      <c r="B18" s="39" t="s"/>
      <c r="C18" s="39" t="s"/>
      <c r="D18" s="39" t="s"/>
      <c r="E18" s="39" t="s"/>
      <c r="F18" s="39" t="s"/>
      <c r="G18" s="39" t="s"/>
      <c r="H18" s="39" t="s"/>
      <c r="I18" s="39" t="s"/>
      <c r="J18" s="39" t="s"/>
      <c r="K18" s="39" t="s"/>
      <c r="L18" s="39" t="s"/>
      <c r="M18" s="39" t="s"/>
      <c r="N18" s="39" t="s"/>
      <c r="O18" s="39" t="s"/>
      <c r="P18" s="39" t="s"/>
      <c r="Q18" s="39" t="s"/>
      <c r="R18" s="39" t="s"/>
      <c r="S18" s="41" t="s"/>
    </row>
    <row r="19" spans="1:19">
      <c r="A19" s="48" t="s">
        <v>21</v>
      </c>
      <c r="B19" s="39" t="s"/>
      <c r="C19" s="39" t="s"/>
      <c r="D19" s="39" t="s"/>
      <c r="E19" s="39" t="s"/>
      <c r="F19" s="39" t="s"/>
      <c r="G19" s="39" t="s"/>
      <c r="H19" s="39" t="s"/>
      <c r="I19" s="39" t="s"/>
      <c r="J19" s="39" t="s"/>
      <c r="K19" s="39" t="s"/>
      <c r="L19" s="39" t="s"/>
      <c r="M19" s="39" t="s"/>
      <c r="N19" s="39" t="s"/>
      <c r="O19" s="39" t="s"/>
      <c r="P19" s="39" t="s"/>
      <c r="Q19" s="39" t="s"/>
      <c r="R19" s="39" t="s"/>
      <c r="S19" s="41" t="s"/>
    </row>
    <row r="20" spans="1:19">
      <c r="A20" s="38" t="s"/>
      <c r="B20" s="39" t="s"/>
      <c r="C20" s="39" t="s"/>
      <c r="D20" s="39" t="s"/>
      <c r="E20" s="39" t="s"/>
      <c r="F20" s="39" t="s"/>
      <c r="G20" s="39" t="s"/>
      <c r="H20" s="39" t="s"/>
      <c r="I20" s="39" t="s"/>
      <c r="J20" s="39" t="s"/>
      <c r="K20" s="39" t="s"/>
      <c r="L20" s="39" t="s"/>
      <c r="M20" s="39" t="s"/>
      <c r="N20" s="39" t="s"/>
      <c r="O20" s="39" t="s"/>
      <c r="P20" s="39" t="s"/>
      <c r="Q20" s="39" t="s"/>
      <c r="R20" s="39" t="s"/>
      <c r="S20" s="41" t="s"/>
    </row>
    <row r="21" spans="1:19">
      <c r="A21" s="38" t="s">
        <v>22</v>
      </c>
      <c r="B21" s="39" t="s"/>
      <c r="C21" s="46">
        <v>10</v>
      </c>
      <c r="D21" s="46" t="s"/>
      <c r="E21" s="46">
        <v>10</v>
      </c>
      <c r="F21" s="46">
        <v>10</v>
      </c>
      <c r="G21" s="46">
        <v>10</v>
      </c>
      <c r="H21" s="46" t="s"/>
      <c r="I21" s="46">
        <v>10</v>
      </c>
      <c r="J21" s="46">
        <v>10</v>
      </c>
      <c r="K21" s="46">
        <v>10</v>
      </c>
      <c r="L21" s="46" t="s"/>
      <c r="M21" s="46">
        <v>10</v>
      </c>
      <c r="N21" s="46">
        <v>10</v>
      </c>
      <c r="O21" s="46">
        <v>10</v>
      </c>
      <c r="P21" s="46" t="s"/>
      <c r="Q21" s="46">
        <v>10</v>
      </c>
      <c r="R21" s="46">
        <v>10</v>
      </c>
      <c r="S21" s="44">
        <v>120</v>
      </c>
    </row>
    <row r="22" spans="1:19">
      <c r="A22" s="38" t="s">
        <v>23</v>
      </c>
      <c r="B22" s="39" t="s"/>
      <c r="C22" s="39" t="s"/>
      <c r="D22" s="39" t="s"/>
      <c r="E22" s="39" t="s"/>
      <c r="F22" s="39" t="s"/>
      <c r="G22" s="46">
        <v>880</v>
      </c>
      <c r="H22" s="46" t="s"/>
      <c r="I22" s="39" t="s"/>
      <c r="J22" s="39" t="s"/>
      <c r="K22" s="39" t="s"/>
      <c r="L22" s="39" t="s"/>
      <c r="M22" s="46">
        <v>880</v>
      </c>
      <c r="N22" s="39" t="s"/>
      <c r="O22" s="39" t="s"/>
      <c r="P22" s="39" t="s"/>
      <c r="Q22" s="39" t="s"/>
      <c r="R22" s="46">
        <v>880</v>
      </c>
      <c r="S22" s="44">
        <v>2640</v>
      </c>
    </row>
    <row r="23" spans="1:19">
      <c r="A23" s="38" t="s">
        <v>24</v>
      </c>
      <c r="B23" s="39" t="s"/>
      <c r="C23" s="46">
        <v>1666.67</v>
      </c>
      <c r="D23" s="46" t="s"/>
      <c r="E23" s="46">
        <v>1666.67</v>
      </c>
      <c r="F23" s="46">
        <v>1666.67</v>
      </c>
      <c r="G23" s="46">
        <v>1666.67</v>
      </c>
      <c r="H23" s="46" t="s"/>
      <c r="I23" s="46">
        <v>1666.67</v>
      </c>
      <c r="J23" s="46">
        <v>1666.67</v>
      </c>
      <c r="K23" s="46">
        <v>1666.67</v>
      </c>
      <c r="L23" s="46" t="s"/>
      <c r="M23" s="46">
        <v>1666.67</v>
      </c>
      <c r="N23" s="46">
        <v>1666.67</v>
      </c>
      <c r="O23" s="46">
        <v>1666.67</v>
      </c>
      <c r="P23" s="46" t="s"/>
      <c r="Q23" s="46">
        <v>1666.67</v>
      </c>
      <c r="R23" s="46">
        <v>1666.67</v>
      </c>
      <c r="S23" s="44">
        <v>20000</v>
      </c>
    </row>
    <row r="24" spans="1:19">
      <c r="A24" s="38" t="s">
        <v>25</v>
      </c>
      <c r="B24" s="39" t="s"/>
      <c r="C24" s="39" t="s"/>
      <c r="D24" s="39" t="s"/>
      <c r="E24" s="39" t="s"/>
      <c r="F24" s="39" t="s"/>
      <c r="G24" s="39" t="s"/>
      <c r="H24" s="39" t="s"/>
      <c r="I24" s="39" t="s"/>
      <c r="J24" s="39" t="s"/>
      <c r="K24" s="39" t="s"/>
      <c r="L24" s="39" t="s"/>
      <c r="M24" s="39" t="s"/>
      <c r="N24" s="46">
        <v>28000</v>
      </c>
      <c r="O24" s="39" t="s"/>
      <c r="P24" s="39" t="s"/>
      <c r="Q24" s="39" t="s"/>
      <c r="R24" s="39" t="s"/>
      <c r="S24" s="44">
        <v>28000</v>
      </c>
    </row>
    <row r="25" spans="1:19">
      <c r="A25" s="38" t="s"/>
      <c r="B25" s="39" t="s"/>
      <c r="C25" s="39" t="s"/>
      <c r="D25" s="39" t="s"/>
      <c r="E25" s="39" t="s"/>
      <c r="F25" s="39" t="s"/>
      <c r="G25" s="39" t="s"/>
      <c r="H25" s="39" t="s"/>
      <c r="I25" s="39" t="s"/>
      <c r="J25" s="39" t="s"/>
      <c r="K25" s="39" t="s"/>
      <c r="L25" s="39" t="s"/>
      <c r="M25" s="39" t="s"/>
      <c r="N25" s="39" t="s"/>
      <c r="O25" s="39" t="s"/>
      <c r="P25" s="39" t="s"/>
      <c r="Q25" s="39" t="s"/>
      <c r="R25" s="39" t="s"/>
      <c r="S25" s="41" t="s"/>
    </row>
    <row r="26" spans="1:19">
      <c r="A26" s="33" t="s">
        <v>26</v>
      </c>
      <c r="B26" s="34" t="s"/>
      <c r="C26" s="35">
        <v>8837.37</v>
      </c>
      <c r="D26" s="35" t="s"/>
      <c r="E26" s="35">
        <v>-151.52</v>
      </c>
      <c r="F26" s="35">
        <v>-151.52</v>
      </c>
      <c r="G26" s="35">
        <v>8757.37</v>
      </c>
      <c r="H26" s="35" t="s"/>
      <c r="I26" s="35">
        <v>-151.52</v>
      </c>
      <c r="J26" s="35">
        <v>-151.52</v>
      </c>
      <c r="K26" s="35">
        <v>8837.37</v>
      </c>
      <c r="L26" s="35" t="s"/>
      <c r="M26" s="35">
        <v>-231.52</v>
      </c>
      <c r="N26" s="35">
        <v>-2696.97</v>
      </c>
      <c r="O26" s="35">
        <v>8837.37</v>
      </c>
      <c r="P26" s="35" t="s"/>
      <c r="Q26" s="35">
        <v>-151.52</v>
      </c>
      <c r="R26" s="35">
        <v>18516.81</v>
      </c>
      <c r="S26" s="44">
        <v>50100.24</v>
      </c>
    </row>
    <row r="27" spans="1:19">
      <c r="A27" s="33" t="s">
        <v>27</v>
      </c>
      <c r="B27" s="34" t="s"/>
      <c r="C27" s="35">
        <v>10514.04</v>
      </c>
      <c r="D27" s="35" t="s"/>
      <c r="E27" s="35">
        <v>1525.15</v>
      </c>
      <c r="F27" s="35">
        <v>1525.15</v>
      </c>
      <c r="G27" s="35">
        <v>11314.04</v>
      </c>
      <c r="H27" s="35" t="s"/>
      <c r="I27" s="35">
        <v>1525.15</v>
      </c>
      <c r="J27" s="35">
        <v>1525.15</v>
      </c>
      <c r="K27" s="35">
        <v>10514.04</v>
      </c>
      <c r="L27" s="35" t="s"/>
      <c r="M27" s="35">
        <v>2325.15</v>
      </c>
      <c r="N27" s="35">
        <v>26979.7</v>
      </c>
      <c r="O27" s="35">
        <v>10514.04</v>
      </c>
      <c r="P27" s="35" t="s"/>
      <c r="Q27" s="35">
        <v>1525.15</v>
      </c>
      <c r="R27" s="35">
        <v>21073.48</v>
      </c>
      <c r="S27" s="44">
        <v>100860.24</v>
      </c>
    </row>
    <row r="28" spans="1:19">
      <c r="A28" s="48" t="s"/>
      <c r="B28" s="39" t="s"/>
      <c r="C28" s="39" t="s"/>
      <c r="D28" s="39" t="s"/>
      <c r="E28" s="39" t="s"/>
      <c r="F28" s="39" t="s"/>
      <c r="G28" s="39" t="s"/>
      <c r="H28" s="39" t="s"/>
      <c r="I28" s="39" t="s"/>
      <c r="J28" s="39" t="s"/>
      <c r="K28" s="39" t="s"/>
      <c r="L28" s="39" t="s"/>
      <c r="M28" s="39" t="s"/>
      <c r="N28" s="39" t="s"/>
      <c r="O28" s="39" t="s"/>
      <c r="P28" s="39" t="s"/>
      <c r="Q28" s="39" t="s"/>
      <c r="R28" s="39" t="s"/>
      <c r="S28" s="41" t="s"/>
    </row>
    <row r="29" spans="1:19">
      <c r="A29" s="38" t="s"/>
      <c r="B29" s="39" t="s"/>
      <c r="C29" s="39" t="s"/>
      <c r="D29" s="39" t="s"/>
      <c r="E29" s="39" t="s"/>
      <c r="F29" s="39" t="s"/>
      <c r="G29" s="39" t="s"/>
      <c r="H29" s="39" t="s"/>
      <c r="I29" s="39" t="s"/>
      <c r="J29" s="39" t="s"/>
      <c r="K29" s="39" t="s"/>
      <c r="L29" s="39" t="s"/>
      <c r="M29" s="39" t="s"/>
      <c r="N29" s="39" t="s"/>
      <c r="O29" s="39" t="s"/>
      <c r="P29" s="39" t="s"/>
      <c r="Q29" s="39" t="s"/>
      <c r="R29" s="39" t="s"/>
      <c r="S29" s="41" t="s"/>
    </row>
    <row r="30" spans="1:19">
      <c r="A30" s="51" t="s">
        <v>28</v>
      </c>
      <c r="B30" s="52" t="s"/>
      <c r="C30" s="53">
        <v>238363.72</v>
      </c>
      <c r="D30" s="53" t="s"/>
      <c r="E30" s="53">
        <v>236838.57</v>
      </c>
      <c r="F30" s="53">
        <v>235313.42</v>
      </c>
      <c r="G30" s="53">
        <v>322877.14</v>
      </c>
      <c r="H30" s="53" t="s"/>
      <c r="I30" s="53">
        <v>321351.99</v>
      </c>
      <c r="J30" s="53">
        <v>319826.84</v>
      </c>
      <c r="K30" s="53">
        <v>408190.56</v>
      </c>
      <c r="L30" s="53" t="s"/>
      <c r="M30" s="53">
        <v>405865.41</v>
      </c>
      <c r="N30" s="53">
        <v>378885.71</v>
      </c>
      <c r="O30" s="53">
        <v>467249.44</v>
      </c>
      <c r="P30" s="53" t="s"/>
      <c r="Q30" s="53">
        <v>465724.29</v>
      </c>
      <c r="R30" s="53">
        <v>650882.43</v>
      </c>
      <c r="S30" s="55">
        <v>4451369.51</v>
      </c>
    </row>
  </sheetData>
  <mergeCells count="4">
    <mergeCell ref="C1:D1"/>
    <mergeCell ref="G1:H1"/>
    <mergeCell ref="K1:L1"/>
    <mergeCell ref="O1:P1"/>
  </mergeCells>
  <hyperlinks>
    <hyperlink ref="A5" r:id="rId3"/>
    <hyperlink ref="B5" r:id="rId4"/>
    <hyperlink ref="A6" r:id="rId5"/>
    <hyperlink ref="B6" r:id="rId6"/>
  </hyperlinks>
  <legacy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 codeName="Creekside Hills 2026FY">
    <tabColor rgb="FFFFFFFF"/>
  </sheetPr>
  <dimension ref="O30"/>
  <sheetViews>
    <sheetView showGridLines="true" workbookViewId="0"/>
  </sheetViews>
  <sheetData>
    <row r="1" spans="1:15">
      <c r="A1" t="s">
        <v>1</v>
      </c>
      <c r="B1" s="30" t="s"/>
      <c r="C1" s="31">
        <v>45839</v>
      </c>
      <c r="D1" s="31">
        <v>45870</v>
      </c>
      <c r="E1" s="31">
        <v>45901</v>
      </c>
      <c r="F1" s="31">
        <v>45931</v>
      </c>
      <c r="G1" s="31">
        <v>45962</v>
      </c>
      <c r="H1" s="31">
        <v>45992</v>
      </c>
      <c r="I1" s="31">
        <v>46023</v>
      </c>
      <c r="J1" s="31">
        <v>46054</v>
      </c>
      <c r="K1" s="31">
        <v>46082</v>
      </c>
      <c r="L1" s="31">
        <v>46113</v>
      </c>
      <c r="M1" s="31">
        <v>46143</v>
      </c>
      <c r="N1" s="31">
        <v>46174</v>
      </c>
      <c r="O1" s="32" t="s">
        <v>14</v>
      </c>
    </row>
    <row r="2" spans="1:15">
      <c r="A2" s="33" t="s">
        <v>15</v>
      </c>
      <c r="B2" s="34" t="s"/>
      <c r="C2" s="35" t="s"/>
      <c r="D2" s="35" t="s"/>
      <c r="E2" s="35" t="s"/>
      <c r="F2" s="35" t="s"/>
      <c r="G2" s="35" t="s"/>
      <c r="H2" s="35" t="s"/>
      <c r="I2" s="35" t="s"/>
      <c r="J2" s="35" t="s"/>
      <c r="K2" s="35" t="s"/>
      <c r="L2" s="36" t="s"/>
      <c r="M2" s="36" t="s"/>
      <c r="N2" s="36" t="s"/>
      <c r="O2" s="37" t="s"/>
    </row>
    <row r="3" spans="1:15">
      <c r="A3" s="38" t="s">
        <v>16</v>
      </c>
      <c r="B3" s="39" t="s"/>
      <c r="C3" s="39" t="s"/>
      <c r="D3" s="39" t="s"/>
      <c r="E3" s="39" t="s"/>
      <c r="F3" s="39" t="s"/>
      <c r="G3" s="39" t="s"/>
      <c r="H3" s="39" t="s"/>
      <c r="I3" s="39" t="s"/>
      <c r="J3" s="39" t="s"/>
      <c r="K3" s="39" t="s"/>
      <c r="L3" s="40" t="s"/>
      <c r="M3" s="40" t="s"/>
      <c r="N3" s="40" t="s"/>
      <c r="O3" s="41" t="s"/>
    </row>
    <row r="4" spans="1:15">
      <c r="A4" t="s">
        <v>17</v>
      </c>
      <c r="B4" s="39" t="s"/>
      <c r="C4" s="39" t="s"/>
      <c r="D4" s="39" t="s"/>
      <c r="E4" s="39" t="s"/>
      <c r="F4" s="39" t="s"/>
      <c r="G4" s="39" t="s"/>
      <c r="H4" s="39" t="s"/>
      <c r="I4" s="39" t="s"/>
      <c r="J4" s="39" t="s"/>
      <c r="K4" s="39" t="s"/>
      <c r="L4" s="40" t="s"/>
      <c r="M4" s="40" t="s"/>
      <c r="N4" s="40" t="s"/>
      <c r="O4" s="41" t="s"/>
    </row>
    <row r="5" spans="2:15">
      <c r="B5" s="42" t="s">
        <v>18</v>
      </c>
      <c r="C5" s="43">
        <f>=(130000*1.1)/12</f>
        <v>11916.6666666667</v>
      </c>
      <c r="D5" s="43">
        <f>=(130000*1.1)/12</f>
        <v>11916.6666666667</v>
      </c>
      <c r="E5" s="43">
        <f>=(130000*1.1)/12</f>
        <v>11916.6666666667</v>
      </c>
      <c r="F5" s="43">
        <f>=(130000*1.1)/12</f>
        <v>11916.6666666667</v>
      </c>
      <c r="G5" s="43">
        <f>=(130000*1.1)/12</f>
        <v>11916.6666666667</v>
      </c>
      <c r="H5" s="43">
        <f>=(130000*1.1)/12</f>
        <v>11916.6666666667</v>
      </c>
      <c r="I5" s="43">
        <f>=(130000*1.1)/12</f>
        <v>11916.6666666667</v>
      </c>
      <c r="J5" s="43">
        <f>=(130000*1.1)/12</f>
        <v>11916.6666666667</v>
      </c>
      <c r="K5" s="43">
        <f>=(133900*1.1)/12</f>
        <v>12274.1666666667</v>
      </c>
      <c r="L5" s="43">
        <f>=(133900*1.1)/12</f>
        <v>12274.1666666667</v>
      </c>
      <c r="M5" s="43">
        <f>=(133900*1.1)/12</f>
        <v>12274.1666666667</v>
      </c>
      <c r="N5" s="43">
        <f>=(133900*1.1)/12</f>
        <v>12274.1666666667</v>
      </c>
      <c r="O5" s="44">
        <f>=SUM(C5:N5)</f>
        <v>144430</v>
      </c>
    </row>
    <row r="6" spans="1:15">
      <c r="A6" s="45" t="s">
        <v>19</v>
      </c>
      <c r="B6" s="42" t="s"/>
      <c r="C6" s="46" t="s"/>
      <c r="D6" s="39" t="s"/>
      <c r="E6" s="39" t="s"/>
      <c r="F6" s="46" t="s"/>
      <c r="G6" s="39" t="s"/>
      <c r="H6" s="39" t="s"/>
      <c r="I6" s="46" t="s"/>
      <c r="J6" s="39" t="s"/>
      <c r="K6" s="39" t="s"/>
      <c r="L6" s="40" t="s"/>
      <c r="M6" s="40" t="s"/>
      <c r="N6" s="40" t="s"/>
      <c r="O6" s="44" t="s"/>
    </row>
    <row r="7" spans="1:15">
      <c r="A7" s="38" t="s"/>
      <c r="B7" s="39" t="s"/>
      <c r="C7" s="39" t="s"/>
      <c r="D7" s="39" t="s"/>
      <c r="E7" s="39" t="s"/>
      <c r="F7" s="39" t="s"/>
      <c r="G7" s="39" t="s"/>
      <c r="H7" s="39" t="s"/>
      <c r="I7" s="39" t="s"/>
      <c r="J7" s="39" t="s"/>
      <c r="K7" s="39" t="s"/>
      <c r="L7" s="40" t="s"/>
      <c r="M7" s="40" t="s"/>
      <c r="N7" s="40" t="s"/>
      <c r="O7" s="41" t="s"/>
    </row>
    <row r="8" spans="1:15">
      <c r="A8" s="38" t="s"/>
      <c r="B8" s="39" t="s"/>
      <c r="C8" s="39" t="s"/>
      <c r="D8" s="39" t="s"/>
      <c r="E8" s="39" t="s"/>
      <c r="F8" s="39" t="s"/>
      <c r="G8" s="39" t="s"/>
      <c r="H8" s="39" t="s"/>
      <c r="I8" s="39" t="s"/>
      <c r="J8" s="39" t="s"/>
      <c r="K8" s="39" t="s"/>
      <c r="L8" s="40" t="s"/>
      <c r="M8" s="40" t="s"/>
      <c r="N8" s="40" t="s"/>
      <c r="O8" s="41" t="s"/>
    </row>
    <row r="9" spans="1:15">
      <c r="A9" s="38" t="s"/>
      <c r="B9" s="39" t="s"/>
      <c r="C9" s="39" t="s"/>
      <c r="D9" s="39" t="s"/>
      <c r="E9" s="39" t="s"/>
      <c r="F9" s="39" t="s"/>
      <c r="G9" s="39" t="s"/>
      <c r="H9" s="39" t="s"/>
      <c r="I9" s="39" t="s"/>
      <c r="J9" s="39" t="s"/>
      <c r="K9" s="39" t="s"/>
      <c r="L9" s="40" t="s"/>
      <c r="M9" s="40" t="s"/>
      <c r="N9" s="40" t="s"/>
      <c r="O9" s="41" t="s"/>
    </row>
    <row r="10" spans="1:15">
      <c r="A10" s="38" t="s"/>
      <c r="B10" s="39" t="s"/>
      <c r="C10" s="39" t="s"/>
      <c r="D10" s="39" t="s"/>
      <c r="E10" s="39" t="s"/>
      <c r="F10" s="39" t="s"/>
      <c r="G10" s="39" t="s"/>
      <c r="H10" s="39" t="s"/>
      <c r="I10" s="39" t="s"/>
      <c r="J10" s="39" t="s"/>
      <c r="K10" s="39" t="s"/>
      <c r="L10" s="40" t="s"/>
      <c r="M10" s="40" t="s"/>
      <c r="N10" s="40" t="s"/>
      <c r="O10" s="41" t="s"/>
    </row>
    <row r="11" spans="1:15">
      <c r="A11" s="38" t="s"/>
      <c r="B11" s="39" t="s"/>
      <c r="C11" s="39" t="s"/>
      <c r="D11" s="39" t="s"/>
      <c r="E11" s="39" t="s"/>
      <c r="F11" s="39" t="s"/>
      <c r="G11" s="39" t="s"/>
      <c r="H11" s="39" t="s"/>
      <c r="I11" s="39" t="s"/>
      <c r="J11" s="39" t="s"/>
      <c r="K11" s="39" t="s"/>
      <c r="L11" s="40" t="s"/>
      <c r="M11" s="40" t="s"/>
      <c r="N11" s="40" t="s"/>
      <c r="O11" s="41" t="s"/>
    </row>
    <row r="12" spans="1:15">
      <c r="A12" s="38" t="s"/>
      <c r="B12" s="39" t="s"/>
      <c r="C12" s="39" t="s"/>
      <c r="D12" s="39" t="s"/>
      <c r="E12" s="39" t="s"/>
      <c r="F12" s="39" t="s"/>
      <c r="G12" s="39" t="s"/>
      <c r="H12" s="39" t="s"/>
      <c r="I12" s="39" t="s"/>
      <c r="J12" s="39" t="s"/>
      <c r="K12" s="39" t="s"/>
      <c r="L12" s="40" t="s"/>
      <c r="M12" s="40" t="s"/>
      <c r="N12" s="40" t="s"/>
      <c r="O12" s="41" t="s"/>
    </row>
    <row r="13" spans="1:15">
      <c r="A13" s="38" t="s"/>
      <c r="B13" s="39" t="s"/>
      <c r="C13" s="39" t="s"/>
      <c r="D13" s="39" t="s"/>
      <c r="E13" s="39" t="s"/>
      <c r="F13" s="39" t="s"/>
      <c r="G13" s="39" t="s"/>
      <c r="H13" s="39" t="s"/>
      <c r="I13" s="39" t="s"/>
      <c r="J13" s="39" t="s"/>
      <c r="K13" s="39" t="s"/>
      <c r="L13" s="40" t="s"/>
      <c r="M13" s="40" t="s"/>
      <c r="N13" s="40" t="s"/>
      <c r="O13" s="41" t="s"/>
    </row>
    <row r="14" spans="1:15">
      <c r="A14" s="38" t="s"/>
      <c r="B14" s="39" t="s"/>
      <c r="C14" s="39" t="s"/>
      <c r="D14" s="39" t="s"/>
      <c r="E14" s="39" t="s"/>
      <c r="F14" s="39" t="s"/>
      <c r="G14" s="39" t="s"/>
      <c r="H14" s="39" t="s"/>
      <c r="I14" s="39" t="s"/>
      <c r="J14" s="39" t="s"/>
      <c r="K14" s="39" t="s"/>
      <c r="L14" s="40" t="s"/>
      <c r="M14" s="40" t="s"/>
      <c r="N14" s="40" t="s"/>
      <c r="O14" s="41" t="s"/>
    </row>
    <row r="15" spans="1:15">
      <c r="A15" s="38" t="s"/>
      <c r="B15" s="39" t="s"/>
      <c r="C15" s="39" t="s"/>
      <c r="D15" s="39" t="s"/>
      <c r="E15" s="39" t="s"/>
      <c r="F15" s="39" t="s"/>
      <c r="G15" s="39" t="s"/>
      <c r="H15" s="39" t="s"/>
      <c r="I15" s="39" t="s"/>
      <c r="J15" s="39" t="s"/>
      <c r="K15" s="39" t="s"/>
      <c r="L15" s="40" t="s"/>
      <c r="M15" s="40" t="s"/>
      <c r="N15" s="40" t="s"/>
      <c r="O15" s="41" t="s"/>
    </row>
    <row r="16" spans="1:15">
      <c r="A16" s="38" t="s"/>
      <c r="B16" s="39" t="s"/>
      <c r="C16" s="39" t="s"/>
      <c r="D16" s="39" t="s"/>
      <c r="E16" s="39" t="s"/>
      <c r="F16" s="39" t="s"/>
      <c r="G16" s="39" t="s"/>
      <c r="H16" s="39" t="s"/>
      <c r="I16" s="39" t="s"/>
      <c r="J16" s="39" t="s"/>
      <c r="K16" s="39" t="s"/>
      <c r="L16" s="40" t="s"/>
      <c r="M16" s="40" t="s"/>
      <c r="N16" s="40" t="s"/>
      <c r="O16" s="41" t="s"/>
    </row>
    <row r="17" spans="1:15">
      <c r="A17" s="33" t="s">
        <v>20</v>
      </c>
      <c r="B17" s="47" t="s"/>
      <c r="C17" s="44">
        <f>=C5</f>
        <v>11916.6666666667</v>
      </c>
      <c r="D17" s="44">
        <f>=D5</f>
        <v>11916.6666666667</v>
      </c>
      <c r="E17" s="44">
        <f>=E5</f>
        <v>11916.6666666667</v>
      </c>
      <c r="F17" s="44">
        <f>=F5</f>
        <v>11916.6666666667</v>
      </c>
      <c r="G17" s="44">
        <f>=G5</f>
        <v>11916.6666666667</v>
      </c>
      <c r="H17" s="44">
        <f>=H5</f>
        <v>11916.6666666667</v>
      </c>
      <c r="I17" s="44">
        <f>=I5</f>
        <v>11916.6666666667</v>
      </c>
      <c r="J17" s="44">
        <f>=J5</f>
        <v>11916.6666666667</v>
      </c>
      <c r="K17" s="44">
        <f>=K5</f>
        <v>12274.1666666667</v>
      </c>
      <c r="L17" s="43">
        <f>=L5</f>
        <v>12274.1666666667</v>
      </c>
      <c r="M17" s="44">
        <f>=M5</f>
        <v>12274.1666666667</v>
      </c>
      <c r="N17" s="44">
        <f>=N5</f>
        <v>12274.1666666667</v>
      </c>
      <c r="O17" s="44">
        <f>=O5</f>
        <v>144430</v>
      </c>
    </row>
    <row r="18" spans="1:15">
      <c r="A18" s="38" t="s"/>
      <c r="B18" s="39" t="s"/>
      <c r="C18" s="39" t="s"/>
      <c r="D18" s="39" t="s"/>
      <c r="E18" s="39" t="s"/>
      <c r="F18" s="39" t="s"/>
      <c r="G18" s="39" t="s"/>
      <c r="H18" s="39" t="s"/>
      <c r="I18" s="39" t="s"/>
      <c r="J18" s="39" t="s"/>
      <c r="K18" s="39" t="s"/>
      <c r="L18" s="40" t="s"/>
      <c r="M18" s="40" t="s"/>
      <c r="N18" s="40" t="s"/>
      <c r="O18" s="41" t="s"/>
    </row>
    <row r="19" spans="1:15">
      <c r="A19" s="48" t="s">
        <v>21</v>
      </c>
      <c r="B19" s="39" t="s"/>
      <c r="C19" s="39" t="s"/>
      <c r="D19" s="39" t="s"/>
      <c r="E19" s="39" t="s"/>
      <c r="F19" s="39" t="s"/>
      <c r="G19" s="39" t="s"/>
      <c r="H19" s="39" t="s"/>
      <c r="I19" s="39" t="s"/>
      <c r="J19" s="39" t="s"/>
      <c r="K19" s="39" t="s"/>
      <c r="L19" s="40" t="s"/>
      <c r="M19" s="40" t="s"/>
      <c r="N19" s="40" t="s"/>
      <c r="O19" s="41" t="s"/>
    </row>
    <row r="20" spans="1:15">
      <c r="A20" s="38" t="s"/>
      <c r="B20" s="39" t="s"/>
      <c r="C20" s="39" t="s"/>
      <c r="D20" s="39" t="s"/>
      <c r="E20" s="39" t="s"/>
      <c r="F20" s="39" t="s"/>
      <c r="G20" s="39" t="s"/>
      <c r="H20" s="39" t="s"/>
      <c r="I20" s="39" t="s"/>
      <c r="J20" s="39" t="s"/>
      <c r="K20" s="39" t="s"/>
      <c r="L20" s="40" t="s"/>
      <c r="M20" s="40" t="s"/>
      <c r="N20" s="40" t="s"/>
      <c r="O20" s="41" t="s"/>
    </row>
    <row r="21" spans="1:15">
      <c r="A21" s="38" t="s">
        <v>22</v>
      </c>
      <c r="B21" s="39" t="s"/>
      <c r="C21" s="46">
        <v>10</v>
      </c>
      <c r="D21" s="46">
        <v>10</v>
      </c>
      <c r="E21" s="46">
        <v>10</v>
      </c>
      <c r="F21" s="46">
        <v>10</v>
      </c>
      <c r="G21" s="46">
        <v>10</v>
      </c>
      <c r="H21" s="46">
        <v>10</v>
      </c>
      <c r="I21" s="46">
        <v>10</v>
      </c>
      <c r="J21" s="46">
        <v>10</v>
      </c>
      <c r="K21" s="46">
        <v>10</v>
      </c>
      <c r="L21" s="49">
        <v>10</v>
      </c>
      <c r="M21" s="49">
        <v>10</v>
      </c>
      <c r="N21" s="49">
        <v>10</v>
      </c>
      <c r="O21" s="44">
        <f>=SUM(C21:N21)</f>
        <v>120</v>
      </c>
    </row>
    <row r="22" spans="1:15">
      <c r="A22" s="38" t="s">
        <v>23</v>
      </c>
      <c r="B22" s="39" t="s"/>
      <c r="C22" s="39" t="s"/>
      <c r="D22" s="39" t="s"/>
      <c r="E22" s="39" t="s"/>
      <c r="F22" s="46">
        <v>880</v>
      </c>
      <c r="G22" s="39" t="s"/>
      <c r="H22" s="39" t="s"/>
      <c r="I22" s="39" t="s"/>
      <c r="J22" s="46">
        <v>880</v>
      </c>
      <c r="K22" s="39" t="s"/>
      <c r="L22" s="40" t="s"/>
      <c r="M22" s="40" t="s"/>
      <c r="N22" s="49">
        <v>880</v>
      </c>
      <c r="O22" s="44">
        <f>=SUM(C22:N22)</f>
        <v>2640</v>
      </c>
    </row>
    <row r="23" spans="1:15">
      <c r="A23" s="38" t="s">
        <v>24</v>
      </c>
      <c r="B23" s="39" t="s"/>
      <c r="C23" s="46" t="s"/>
      <c r="D23" s="46" t="s"/>
      <c r="E23" s="46" t="s"/>
      <c r="F23" s="46" t="s"/>
      <c r="G23" s="46" t="s"/>
      <c r="H23" s="46" t="s"/>
      <c r="I23" s="46" t="s"/>
      <c r="J23" s="46" t="s"/>
      <c r="K23" s="46" t="s"/>
      <c r="L23" s="49" t="s"/>
      <c r="M23" s="49" t="s"/>
      <c r="N23" s="49" t="s"/>
      <c r="O23" s="44" t="s"/>
    </row>
    <row r="24" spans="1:15">
      <c r="A24" s="38" t="s">
        <v>25</v>
      </c>
      <c r="B24" s="39" t="s"/>
      <c r="C24" s="39" t="s"/>
      <c r="D24" s="39" t="s"/>
      <c r="E24" s="39" t="s"/>
      <c r="F24" s="39" t="s"/>
      <c r="G24" s="39" t="s"/>
      <c r="H24" s="39" t="s"/>
      <c r="I24" s="39" t="s"/>
      <c r="J24" s="39" t="s"/>
      <c r="K24" s="46">
        <v>28000</v>
      </c>
      <c r="L24" s="49" t="s"/>
      <c r="M24" s="49" t="s"/>
      <c r="N24" s="49" t="s"/>
      <c r="O24" s="44">
        <v>28000</v>
      </c>
    </row>
    <row r="25" spans="1:15">
      <c r="A25" s="38" t="s"/>
      <c r="B25" s="39" t="s"/>
      <c r="C25" s="39" t="s"/>
      <c r="D25" s="39" t="s"/>
      <c r="E25" s="39" t="s"/>
      <c r="F25" s="39" t="s"/>
      <c r="G25" s="39" t="s"/>
      <c r="H25" s="39" t="s"/>
      <c r="I25" s="39" t="s"/>
      <c r="J25" s="39" t="s"/>
      <c r="K25" s="39" t="s"/>
      <c r="L25" s="40" t="s"/>
      <c r="M25" s="40" t="s"/>
      <c r="N25" s="40" t="s"/>
      <c r="O25" s="41" t="s"/>
    </row>
    <row r="26" spans="1:15">
      <c r="A26" s="33" t="s">
        <v>26</v>
      </c>
      <c r="B26" s="34" t="s"/>
      <c r="C26" s="35">
        <f>=C17/11</f>
        <v>1083.33333333333</v>
      </c>
      <c r="D26" s="35">
        <f>=D17/11</f>
        <v>1083.33333333333</v>
      </c>
      <c r="E26" s="35">
        <f>=E17/11</f>
        <v>1083.33333333333</v>
      </c>
      <c r="F26" s="35">
        <f>=F17/11</f>
        <v>1083.33333333333</v>
      </c>
      <c r="G26" s="35">
        <f>=G17/11</f>
        <v>1083.33333333333</v>
      </c>
      <c r="H26" s="35">
        <f>=H17/11</f>
        <v>1083.33333333333</v>
      </c>
      <c r="I26" s="35">
        <f>=I17/11</f>
        <v>1083.33333333333</v>
      </c>
      <c r="J26" s="35">
        <f>=J17/11</f>
        <v>1083.33333333333</v>
      </c>
      <c r="K26" s="35">
        <f>=K17/11</f>
        <v>1115.83333333333</v>
      </c>
      <c r="L26" s="35">
        <f>=L5/11</f>
        <v>1115.83333333333</v>
      </c>
      <c r="M26" s="35">
        <f>=M5/11</f>
        <v>1115.83333333333</v>
      </c>
      <c r="N26" s="35">
        <f>=N5/11</f>
        <v>1115.83333333333</v>
      </c>
      <c r="O26" s="35">
        <f>=O17/11</f>
        <v>13130</v>
      </c>
    </row>
    <row r="27" spans="1:15">
      <c r="A27" s="33" t="s">
        <v>27</v>
      </c>
      <c r="B27" s="34" t="s"/>
      <c r="C27" s="35" t="s"/>
      <c r="D27" s="35" t="s"/>
      <c r="E27" s="35" t="s"/>
      <c r="F27" s="35" t="s"/>
      <c r="G27" s="35" t="s"/>
      <c r="H27" s="35" t="s"/>
      <c r="I27" s="35" t="s"/>
      <c r="J27" s="35" t="s"/>
      <c r="K27" s="35" t="s"/>
      <c r="L27" s="36" t="s"/>
      <c r="M27" s="36" t="s"/>
      <c r="N27" s="36" t="s"/>
      <c r="O27" s="50" t="s"/>
    </row>
    <row r="28" spans="1:15">
      <c r="A28" s="48" t="s"/>
      <c r="B28" s="39" t="s"/>
      <c r="C28" s="39" t="s"/>
      <c r="D28" s="39" t="s"/>
      <c r="E28" s="39" t="s"/>
      <c r="F28" s="39" t="s"/>
      <c r="G28" s="39" t="s"/>
      <c r="H28" s="39" t="s"/>
      <c r="I28" s="39" t="s"/>
      <c r="J28" s="39" t="s"/>
      <c r="K28" s="39" t="s"/>
      <c r="L28" s="40" t="s"/>
      <c r="M28" s="40" t="s"/>
      <c r="N28" s="40" t="s"/>
      <c r="O28" s="41" t="s"/>
    </row>
    <row r="29" spans="1:15">
      <c r="A29" s="38" t="s"/>
      <c r="B29" s="39" t="s"/>
      <c r="C29" s="39" t="s"/>
      <c r="D29" s="39" t="s"/>
      <c r="E29" s="39" t="s"/>
      <c r="F29" s="39" t="s"/>
      <c r="G29" s="39" t="s"/>
      <c r="H29" s="39" t="s"/>
      <c r="I29" s="39" t="s"/>
      <c r="J29" s="39" t="s"/>
      <c r="K29" s="39" t="s"/>
      <c r="L29" s="40" t="s"/>
      <c r="M29" s="40" t="s"/>
      <c r="N29" s="40" t="s"/>
      <c r="O29" s="41" t="s"/>
    </row>
    <row r="30" spans="1:15">
      <c r="A30" s="51" t="s">
        <v>28</v>
      </c>
      <c r="B30" s="52" t="s"/>
      <c r="C30" s="53" t="s"/>
      <c r="D30" s="53" t="s"/>
      <c r="E30" s="53" t="s"/>
      <c r="F30" s="53" t="s"/>
      <c r="G30" s="53" t="s"/>
      <c r="H30" s="53" t="s"/>
      <c r="I30" s="53" t="s"/>
      <c r="J30" s="53" t="s"/>
      <c r="K30" s="53" t="s"/>
      <c r="L30" s="54" t="s"/>
      <c r="M30" s="54" t="s"/>
      <c r="N30" s="54" t="s"/>
      <c r="O30" s="55" t="s"/>
    </row>
  </sheetData>
  <hyperlinks>
    <hyperlink ref="B5" r:id="rId3"/>
    <hyperlink ref="A6" r:id="rId4"/>
  </hyperlinks>
  <legacyDrawing r:id="rId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Y Cash Flow Budget for 2026FY">
    <tabColor rgb="FFFFFFFF"/>
  </sheetPr>
  <dimension ref="AA45"/>
  <sheetViews>
    <sheetView showGridLines="true" workbookViewId="0">
      <pane xSplit="2" topLeftCell="C1" state="frozen"/>
    </sheetView>
  </sheetViews>
  <cols>
    <col min="2" max="2" width="51.1406" customWidth="true"/>
    <col min="6" max="6" width="13.6094" style="177"/>
  </cols>
  <sheetData>
    <row r="1" spans="1:27">
      <c r="A1" s="108" t="s">
        <v>40</v>
      </c>
      <c r="B1" s="108" t="s"/>
      <c r="C1" s="108" t="s"/>
      <c r="D1" s="108" t="s"/>
      <c r="E1" s="108" t="s"/>
      <c r="F1" s="108" t="s"/>
      <c r="G1" s="108" t="s"/>
      <c r="H1" s="108" t="s"/>
      <c r="I1" s="108" t="s"/>
      <c r="J1" s="108" t="s"/>
      <c r="K1" s="108" t="s"/>
      <c r="L1" s="108" t="s"/>
      <c r="M1" s="108" t="s"/>
      <c r="N1" s="108" t="s"/>
      <c r="O1" s="108" t="s"/>
      <c r="P1" s="108" t="s"/>
      <c r="Q1" s="108" t="s"/>
      <c r="R1" s="108" t="s"/>
      <c r="S1" s="108" t="s"/>
      <c r="T1" s="108" t="s"/>
      <c r="U1" s="108" t="s"/>
      <c r="V1" s="108" t="s"/>
      <c r="W1" s="108" t="s"/>
      <c r="X1" s="108" t="s"/>
      <c r="Y1" s="108" t="s"/>
      <c r="Z1" s="108" t="s"/>
      <c r="AA1" s="108" t="s"/>
    </row>
    <row r="2" spans="3:28">
      <c r="C2" s="109">
        <v>45839</v>
      </c>
      <c r="D2" s="110" t="s"/>
      <c r="E2" s="109">
        <v>45870</v>
      </c>
      <c r="F2" s="110" t="s"/>
      <c r="G2" s="109">
        <v>45901</v>
      </c>
      <c r="H2" s="110" t="s"/>
      <c r="I2" s="109">
        <v>45931</v>
      </c>
      <c r="J2" s="110" t="s"/>
      <c r="K2" s="109">
        <v>45962</v>
      </c>
      <c r="L2" s="110" t="s"/>
      <c r="M2" s="109">
        <v>45992</v>
      </c>
      <c r="N2" s="110" t="s"/>
      <c r="O2" s="109">
        <v>46023</v>
      </c>
      <c r="P2" s="110" t="s"/>
      <c r="Q2" s="109">
        <v>46054</v>
      </c>
      <c r="R2" s="110" t="s"/>
      <c r="S2" s="109">
        <v>46082</v>
      </c>
      <c r="T2" s="110" t="s"/>
      <c r="U2" s="109">
        <v>46113</v>
      </c>
      <c r="V2" s="111" t="s"/>
      <c r="W2" s="109">
        <v>46143</v>
      </c>
      <c r="X2" s="110" t="s"/>
      <c r="Y2" s="109">
        <v>46174</v>
      </c>
      <c r="Z2" s="110" t="s"/>
      <c r="AA2" s="112" t="s">
        <v>14</v>
      </c>
      <c r="AB2" s="113" t="s"/>
    </row>
    <row r="3" spans="1:28">
      <c r="A3" s="114" t="s"/>
      <c r="B3" s="114" t="s"/>
      <c r="C3" s="115" t="s">
        <v>57</v>
      </c>
      <c r="D3" s="116" t="s">
        <v>58</v>
      </c>
      <c r="E3" s="115" t="s">
        <v>57</v>
      </c>
      <c r="F3" s="116" t="s">
        <v>58</v>
      </c>
      <c r="G3" s="115" t="s">
        <v>57</v>
      </c>
      <c r="H3" s="116" t="s">
        <v>58</v>
      </c>
      <c r="I3" s="115" t="s">
        <v>57</v>
      </c>
      <c r="J3" s="116" t="s">
        <v>58</v>
      </c>
      <c r="K3" s="115" t="s">
        <v>57</v>
      </c>
      <c r="L3" s="116" t="s">
        <v>58</v>
      </c>
      <c r="M3" s="115" t="s">
        <v>57</v>
      </c>
      <c r="N3" s="116" t="s">
        <v>58</v>
      </c>
      <c r="O3" s="115" t="s">
        <v>57</v>
      </c>
      <c r="P3" s="116" t="s">
        <v>58</v>
      </c>
      <c r="Q3" s="115" t="s">
        <v>57</v>
      </c>
      <c r="R3" s="116" t="s">
        <v>58</v>
      </c>
      <c r="S3" s="115" t="s">
        <v>57</v>
      </c>
      <c r="T3" s="116" t="s">
        <v>58</v>
      </c>
      <c r="U3" s="115" t="s">
        <v>57</v>
      </c>
      <c r="V3" s="116" t="s">
        <v>58</v>
      </c>
      <c r="W3" s="115" t="s">
        <v>57</v>
      </c>
      <c r="X3" s="116" t="s">
        <v>58</v>
      </c>
      <c r="Y3" s="115" t="s">
        <v>57</v>
      </c>
      <c r="Z3" s="116" t="s">
        <v>58</v>
      </c>
      <c r="AA3" s="115" t="s">
        <v>57</v>
      </c>
      <c r="AB3" s="117" t="s">
        <v>58</v>
      </c>
    </row>
    <row r="4" spans="1:28">
      <c r="A4" t="s">
        <v>16</v>
      </c>
      <c r="C4" s="118" t="s"/>
      <c r="D4" s="119" t="s"/>
      <c r="E4" s="118" t="s"/>
      <c r="F4" s="120" t="s"/>
      <c r="G4" s="118" t="s"/>
      <c r="H4" s="119" t="s"/>
      <c r="I4" s="118" t="s"/>
      <c r="J4" s="119" t="s"/>
      <c r="K4" s="118" t="s"/>
      <c r="L4" s="119" t="s"/>
      <c r="M4" s="118" t="s"/>
      <c r="N4" s="119" t="s"/>
      <c r="O4" s="118" t="s"/>
      <c r="P4" s="119" t="s"/>
      <c r="Q4" s="118" t="s"/>
      <c r="R4" s="119" t="s"/>
      <c r="S4" s="118" t="s"/>
      <c r="T4" s="119" t="s"/>
      <c r="U4" s="118" t="s"/>
      <c r="V4" s="119" t="s"/>
      <c r="W4" s="118" t="s"/>
      <c r="X4" s="119" t="s"/>
      <c r="Y4" s="118" t="s"/>
      <c r="Z4" s="119" t="s"/>
      <c r="AA4" s="118" t="s"/>
      <c r="AB4" s="121" t="s"/>
    </row>
    <row r="5" spans="1:28">
      <c r="A5" t="s">
        <v>30</v>
      </c>
      <c r="C5" s="118" t="s"/>
      <c r="D5" s="119" t="s"/>
      <c r="E5" s="118" t="s"/>
      <c r="F5" s="120" t="s"/>
      <c r="G5" s="118" t="s"/>
      <c r="H5" s="119" t="s"/>
      <c r="I5" s="118" t="s"/>
      <c r="J5" s="119" t="s"/>
      <c r="K5" s="118" t="s"/>
      <c r="L5" s="119" t="s"/>
      <c r="M5" s="118" t="s"/>
      <c r="N5" s="119" t="s"/>
      <c r="O5" s="118" t="s"/>
      <c r="P5" s="119" t="s"/>
      <c r="Q5" s="118" t="s"/>
      <c r="R5" s="119" t="s"/>
      <c r="S5" s="118" t="s"/>
      <c r="T5" s="119" t="s"/>
      <c r="U5" s="118" t="s"/>
      <c r="V5" s="119" t="s"/>
      <c r="W5" s="118" t="s"/>
      <c r="X5" s="119" t="s"/>
      <c r="Y5" s="118" t="s"/>
      <c r="Z5" s="119" t="s"/>
      <c r="AA5" s="118" t="s"/>
      <c r="AB5" s="121" t="s"/>
    </row>
    <row r="6" spans="1:28">
      <c r="A6">
        <v>1</v>
      </c>
      <c r="B6" t="s">
        <v>118</v>
      </c>
      <c r="C6" s="118">
        <v>5000</v>
      </c>
      <c r="D6" s="119">
        <v>3815.43</v>
      </c>
      <c r="E6" s="118">
        <v>5000</v>
      </c>
      <c r="F6" s="120">
        <v>3780.23</v>
      </c>
      <c r="G6" s="118">
        <v>5000</v>
      </c>
      <c r="H6" s="119">
        <v>2828.57</v>
      </c>
      <c r="I6" s="118">
        <v>5000</v>
      </c>
      <c r="J6" s="119">
        <v>2494.17</v>
      </c>
      <c r="K6" s="118">
        <v>5000</v>
      </c>
      <c r="L6" s="119">
        <v>2413.71</v>
      </c>
      <c r="M6" s="118">
        <v>5000</v>
      </c>
      <c r="N6" s="119">
        <v>2494.17</v>
      </c>
      <c r="O6" s="118">
        <v>5000</v>
      </c>
      <c r="P6" s="118">
        <v>1765.03</v>
      </c>
      <c r="Q6" s="118">
        <v>5000</v>
      </c>
      <c r="R6" s="119">
        <v>2013.94</v>
      </c>
      <c r="S6" s="118">
        <v>5000</v>
      </c>
      <c r="T6" s="119">
        <v>3312.57</v>
      </c>
      <c r="U6" s="118">
        <v>10000</v>
      </c>
      <c r="V6" s="119">
        <v>5087.66</v>
      </c>
      <c r="W6" s="118">
        <v>10000</v>
      </c>
      <c r="X6" s="119">
        <v>7092.8</v>
      </c>
      <c r="Y6" s="118">
        <v>10000</v>
      </c>
      <c r="Z6" s="119" t="s"/>
      <c r="AA6" s="118">
        <f>=C6+E6+G6+I6+K6+M6+O6+Q6+S6+U6+W6+Y6</f>
        <v>75000</v>
      </c>
      <c r="AB6" s="121">
        <f>=D6+F6+H6+J6+L6+N6+P6+R6+T6+V6+X6+Z6</f>
        <v>37098.28</v>
      </c>
    </row>
    <row r="7" spans="1:28">
      <c r="A7">
        <v>2</v>
      </c>
      <c r="B7" t="s">
        <v>119</v>
      </c>
      <c r="C7" s="118" t="s"/>
      <c r="D7" s="119" t="s"/>
      <c r="E7" s="118" t="s"/>
      <c r="F7" s="120" t="s"/>
      <c r="G7" s="118">
        <f>=(30900*1.03)/2*1.1</f>
        <v>17504.85</v>
      </c>
      <c r="H7" s="119">
        <v>16500</v>
      </c>
      <c r="I7" s="118" t="s"/>
      <c r="J7" s="119" t="s"/>
      <c r="K7" s="118" t="s"/>
      <c r="L7" s="119" t="s"/>
      <c r="M7" s="118" t="s"/>
      <c r="N7" s="119" t="s"/>
      <c r="O7" s="118" t="s"/>
      <c r="P7" s="119" t="s"/>
      <c r="Q7" s="118" t="s"/>
      <c r="R7" s="119" t="s"/>
      <c r="S7" s="118">
        <f>=(32781.81/2)*1.1</f>
        <v>18029.9955</v>
      </c>
      <c r="T7" s="119">
        <v>16995</v>
      </c>
      <c r="U7" s="118" t="s"/>
      <c r="V7" s="119" t="s"/>
      <c r="W7" s="118" t="s"/>
      <c r="X7" s="119" t="s"/>
      <c r="Y7" s="118" t="s"/>
      <c r="Z7" s="119" t="s"/>
      <c r="AA7" s="118">
        <f>=C7+E7+G7+I7+K7+M7+O7+Q7+S7+U7+W7+Y7</f>
        <v>35534.8455</v>
      </c>
      <c r="AB7" s="122">
        <f>=D7+F7+H7+J7+L7+N7+P7+R7+T7+V7+X7+Z7</f>
        <v>33495</v>
      </c>
    </row>
    <row r="8" spans="1:28">
      <c r="A8">
        <v>3</v>
      </c>
      <c r="B8" t="s">
        <v>100</v>
      </c>
      <c r="C8" s="118">
        <v>53233.14</v>
      </c>
      <c r="D8" s="119">
        <v>53233.14</v>
      </c>
      <c r="E8" s="118" t="s"/>
      <c r="F8" s="120" t="s"/>
      <c r="G8" s="118" t="s"/>
      <c r="H8" s="119" t="s"/>
      <c r="I8" s="118">
        <v>53233.14</v>
      </c>
      <c r="J8" s="118">
        <v>53233.14</v>
      </c>
      <c r="K8" s="118" t="s"/>
      <c r="L8" s="119" t="s"/>
      <c r="M8" s="118" t="s"/>
      <c r="N8" s="119" t="s"/>
      <c r="O8" s="118">
        <v>53233.14</v>
      </c>
      <c r="P8" s="118">
        <v>53233.14</v>
      </c>
      <c r="Q8" s="118" t="s"/>
      <c r="R8" s="119" t="s"/>
      <c r="S8" s="118" t="s"/>
      <c r="T8" s="119" t="s"/>
      <c r="U8" s="118">
        <f>=180535/4*(1+7%+3%+3%)*1.1</f>
        <v>56101.25125</v>
      </c>
      <c r="V8" s="119">
        <v>54830.13</v>
      </c>
      <c r="W8" s="118" t="s"/>
      <c r="X8" s="119" t="s"/>
      <c r="Y8" s="118" t="s"/>
      <c r="Z8" s="119" t="s"/>
      <c r="AA8" s="118">
        <f>=C8+E8+G8+I8+K8+M8+O8+Q8+S8+U8+W8+Y8</f>
        <v>215800.67125</v>
      </c>
      <c r="AB8" s="122">
        <f>=D8+F8+H8+J8+L8+N8+P8+R8+T8+V8+X8+Z8</f>
        <v>214529.55</v>
      </c>
    </row>
    <row r="9" spans="1:28">
      <c r="A9">
        <v>4</v>
      </c>
      <c r="B9" t="s">
        <v>101</v>
      </c>
      <c r="C9" s="118" t="s"/>
      <c r="D9" s="119" t="s"/>
      <c r="E9" s="118" t="s"/>
      <c r="F9" s="120" t="s"/>
      <c r="G9" s="118">
        <f>=10000/2*(1)*1.1</f>
        <v>5500</v>
      </c>
      <c r="H9" s="119">
        <v>5500</v>
      </c>
      <c r="I9" s="118" t="s"/>
      <c r="J9" s="119" t="s"/>
      <c r="K9" s="118" t="s"/>
      <c r="L9" s="119" t="s"/>
      <c r="M9" s="118" t="s"/>
      <c r="N9" s="119" t="s"/>
      <c r="O9" s="118" t="s"/>
      <c r="P9" s="119" t="s"/>
      <c r="Q9" s="118" t="s"/>
      <c r="R9" s="119" t="s"/>
      <c r="S9" s="118">
        <f>=10000/2*(1)*1.1</f>
        <v>5500</v>
      </c>
      <c r="T9" s="119">
        <v>5500</v>
      </c>
      <c r="U9" s="118" t="s"/>
      <c r="V9" s="119" t="s"/>
      <c r="W9" s="118" t="s"/>
      <c r="X9" s="119" t="s"/>
      <c r="Y9" s="118" t="s"/>
      <c r="Z9" s="119" t="s"/>
      <c r="AA9" s="118">
        <f>=C9+E9+G9+I9+K9+M9+O9+Q9+S9+U9+W9+Y9</f>
        <v>11000</v>
      </c>
      <c r="AB9" s="122">
        <f>=D9+F9+H9+J9+L9+N9+P9+R9+T9+V9+X9+Z9</f>
        <v>11000</v>
      </c>
    </row>
    <row r="10" spans="1:28">
      <c r="A10">
        <v>5</v>
      </c>
      <c r="B10" t="s">
        <v>102</v>
      </c>
      <c r="C10" s="118" t="s"/>
      <c r="D10" s="119" t="s"/>
      <c r="E10" s="118" t="s"/>
      <c r="F10" s="120" t="s"/>
      <c r="G10" s="118" t="s"/>
      <c r="H10" s="119">
        <v>0</v>
      </c>
      <c r="I10" s="118">
        <v>44200</v>
      </c>
      <c r="J10" s="119">
        <v>40000</v>
      </c>
      <c r="K10" s="118" t="s"/>
      <c r="L10" s="119" t="s"/>
      <c r="M10" s="118">
        <f>=K10</f>
        <v>0</v>
      </c>
      <c r="N10" s="119" t="s"/>
      <c r="O10" s="118">
        <f>=M10</f>
        <v>0</v>
      </c>
      <c r="P10" s="119" t="s"/>
      <c r="Q10" s="118">
        <f>=O10</f>
        <v>0</v>
      </c>
      <c r="R10" s="119" t="s"/>
      <c r="S10" s="118">
        <f>=Q10</f>
        <v>0</v>
      </c>
      <c r="T10" s="119" t="s"/>
      <c r="U10" s="118">
        <f>=S10</f>
        <v>0</v>
      </c>
      <c r="V10" s="119" t="s"/>
      <c r="W10" s="118">
        <f>=U10</f>
        <v>0</v>
      </c>
      <c r="X10" s="119" t="s"/>
      <c r="Y10" s="118">
        <f>=W10</f>
        <v>0</v>
      </c>
      <c r="Z10" s="119">
        <f>=X10</f>
        <v>0</v>
      </c>
      <c r="AA10" s="118">
        <f>=C10+E10+G10+I10+K10+M10+O10+Q10+S10+U10+W10+Y10</f>
        <v>44200</v>
      </c>
      <c r="AB10" s="122">
        <f>=D10+F10+H10+J10+L10+N10+P10+R10+T10+V10+X10+Z10</f>
        <v>40000</v>
      </c>
    </row>
    <row r="11" spans="3:28">
      <c r="C11" s="118" t="s"/>
      <c r="D11" s="119" t="s"/>
      <c r="E11" s="118" t="s"/>
      <c r="F11" s="120" t="s"/>
      <c r="G11" s="118" t="s"/>
      <c r="H11" s="119" t="s"/>
      <c r="I11" s="118" t="s"/>
      <c r="J11" s="119" t="s"/>
      <c r="K11" s="118" t="s"/>
      <c r="L11" s="119" t="s"/>
      <c r="M11" s="118" t="s"/>
      <c r="N11" s="119" t="s"/>
      <c r="O11" s="118" t="s"/>
      <c r="P11" s="119" t="s"/>
      <c r="Q11" s="118" t="s"/>
      <c r="R11" s="119" t="s"/>
      <c r="S11" s="118" t="s"/>
      <c r="T11" s="119" t="s"/>
      <c r="U11" s="118" t="s"/>
      <c r="V11" s="119" t="s"/>
      <c r="W11" s="118" t="s"/>
      <c r="X11" s="119" t="s"/>
      <c r="Y11" s="118" t="s"/>
      <c r="Z11" s="119" t="s"/>
      <c r="AA11" s="118" t="s"/>
      <c r="AB11" s="122" t="s"/>
    </row>
    <row r="12" spans="1:28">
      <c r="A12" t="s">
        <v>41</v>
      </c>
      <c r="C12" s="118" t="s"/>
      <c r="D12" s="119" t="s"/>
      <c r="E12" s="118" t="s"/>
      <c r="F12" s="120" t="s"/>
      <c r="G12" s="118" t="s"/>
      <c r="H12" s="119" t="s"/>
      <c r="I12" s="118" t="s"/>
      <c r="J12" s="119" t="s"/>
      <c r="K12" s="118" t="s"/>
      <c r="L12" s="119" t="s"/>
      <c r="M12" s="118" t="s"/>
      <c r="N12" s="119" t="s"/>
      <c r="O12" s="118" t="s"/>
      <c r="P12" s="119" t="s"/>
      <c r="Q12" s="118" t="s"/>
      <c r="R12" s="119" t="s"/>
      <c r="S12" s="118" t="s"/>
      <c r="T12" s="119" t="s"/>
      <c r="U12" s="118" t="s"/>
      <c r="V12" s="119" t="s"/>
      <c r="W12" s="118" t="s"/>
      <c r="X12" s="119" t="s"/>
      <c r="Y12" s="118" t="s"/>
      <c r="Z12" s="119" t="s"/>
      <c r="AA12" s="118" t="s"/>
      <c r="AB12" s="122" t="s"/>
    </row>
    <row r="13" spans="1:28">
      <c r="A13">
        <v>1</v>
      </c>
      <c r="B13" t="s">
        <v>103</v>
      </c>
      <c r="C13" s="118" t="s"/>
      <c r="D13" s="119" t="s"/>
      <c r="E13" s="118" t="s"/>
      <c r="F13" s="120" t="s"/>
      <c r="G13" s="118" t="s"/>
      <c r="H13" s="119" t="s"/>
      <c r="I13" s="118">
        <v>22000</v>
      </c>
      <c r="J13" s="119">
        <v>22000</v>
      </c>
      <c r="K13" s="118" t="s"/>
      <c r="L13" s="119" t="s"/>
      <c r="M13" s="118" t="s"/>
      <c r="N13" s="119" t="s"/>
      <c r="O13" s="118" t="s"/>
      <c r="P13" s="119" t="s"/>
      <c r="Q13" s="118" t="s"/>
      <c r="R13" s="119" t="s"/>
      <c r="S13" s="118">
        <f>=I13+(I13*0.03)</f>
        <v>22660</v>
      </c>
      <c r="T13" s="119">
        <v>22660</v>
      </c>
      <c r="U13" s="118" t="s"/>
      <c r="V13" s="119" t="s"/>
      <c r="W13" s="118" t="s"/>
      <c r="X13" s="119" t="s"/>
      <c r="Y13" s="118" t="s"/>
      <c r="Z13" s="119" t="s"/>
      <c r="AA13" s="118">
        <f>=C13+E13+G13+I13+K13+M13+O13+Q13+S13+U13+W13+Y13</f>
        <v>44660</v>
      </c>
      <c r="AB13" s="122">
        <f>=D13+F13+H13+J13+L13+N13+P13+R13+T13+V13+X13+Z13</f>
        <v>44660</v>
      </c>
    </row>
    <row r="14" spans="1:28">
      <c r="A14" s="123">
        <v>2</v>
      </c>
      <c r="B14" s="123" t="s">
        <v>104</v>
      </c>
      <c r="C14" s="124">
        <v>2976.5</v>
      </c>
      <c r="D14" s="125">
        <v>2766.05</v>
      </c>
      <c r="E14" s="126">
        <f>=C14</f>
        <v>2976.5</v>
      </c>
      <c r="F14" s="127">
        <v>3019.95</v>
      </c>
      <c r="G14" s="126">
        <v>2976.5</v>
      </c>
      <c r="H14" s="128">
        <v>3019.95</v>
      </c>
      <c r="I14" s="126">
        <f>=G14</f>
        <v>2976.5</v>
      </c>
      <c r="J14" s="128">
        <v>3019.95</v>
      </c>
      <c r="K14" s="126">
        <f>=I14</f>
        <v>2976.5</v>
      </c>
      <c r="L14" s="128">
        <v>3019.95</v>
      </c>
      <c r="M14" s="126">
        <f>=K14</f>
        <v>2976.5</v>
      </c>
      <c r="N14" s="128">
        <v>3019.95</v>
      </c>
      <c r="O14" s="126">
        <f>=M14</f>
        <v>2976.5</v>
      </c>
      <c r="P14" s="129">
        <f>N14</f>
        <v>3019.95</v>
      </c>
      <c r="Q14" s="126">
        <f>=O14</f>
        <v>2976.5</v>
      </c>
      <c r="R14" s="128">
        <v>3019.95</v>
      </c>
      <c r="S14" s="126">
        <f>=Q14</f>
        <v>2976.5</v>
      </c>
      <c r="T14" s="128">
        <v>3019.95</v>
      </c>
      <c r="U14" s="126">
        <f>=S14</f>
        <v>2976.5</v>
      </c>
      <c r="V14" s="128">
        <v>3019.95</v>
      </c>
      <c r="W14" s="126">
        <f>=U14</f>
        <v>2976.5</v>
      </c>
      <c r="X14" s="128">
        <v>3019.95</v>
      </c>
      <c r="Y14" s="126">
        <f>=W14</f>
        <v>2976.5</v>
      </c>
      <c r="Z14" s="128">
        <v>3019.95</v>
      </c>
      <c r="AA14" s="118">
        <f>=C14+E14+G14+I14+K14+M14+O14+Q14+S14+U14+W14+Y14</f>
        <v>35718</v>
      </c>
      <c r="AB14" s="122">
        <f>=D14+F14+H14+J14+L14+N14+P14+R14+T14+V14+X14+Z14</f>
        <v>35985.5</v>
      </c>
    </row>
    <row r="15" spans="1:28">
      <c r="A15" s="123" t="s"/>
      <c r="B15" s="123" t="s"/>
      <c r="C15" s="124" t="s"/>
      <c r="D15" s="125" t="s"/>
      <c r="E15" s="126" t="s"/>
      <c r="F15" s="127" t="s"/>
      <c r="G15" s="130" t="s"/>
      <c r="H15" s="131" t="s"/>
      <c r="I15" s="130" t="s"/>
      <c r="J15" s="131" t="s"/>
      <c r="K15" s="126" t="s"/>
      <c r="L15" s="128" t="s"/>
      <c r="M15" s="126" t="s"/>
      <c r="N15" s="128" t="s"/>
      <c r="O15" s="126" t="s"/>
      <c r="P15" s="128" t="s"/>
      <c r="Q15" s="126" t="s"/>
      <c r="R15" s="128" t="s"/>
      <c r="S15" s="126" t="s"/>
      <c r="T15" s="128" t="s"/>
      <c r="U15" s="126" t="s"/>
      <c r="V15" s="128" t="s"/>
      <c r="W15" s="126" t="s"/>
      <c r="X15" s="128" t="s"/>
      <c r="Y15" s="126" t="s"/>
      <c r="Z15" s="128" t="s"/>
      <c r="AA15" s="118" t="s"/>
      <c r="AB15" s="122" t="s"/>
    </row>
    <row r="16" spans="1:28">
      <c r="A16" t="s">
        <v>42</v>
      </c>
      <c r="C16" s="118" t="s"/>
      <c r="D16" s="119" t="s"/>
      <c r="E16" s="118" t="s"/>
      <c r="F16" s="120" t="s"/>
      <c r="G16" s="118" t="s"/>
      <c r="H16" s="119" t="s"/>
      <c r="I16" s="118" t="s"/>
      <c r="J16" s="119" t="s"/>
      <c r="K16" s="118" t="s"/>
      <c r="L16" s="119" t="s"/>
      <c r="M16" s="118" t="s"/>
      <c r="N16" s="119" t="s"/>
      <c r="O16" s="118" t="s"/>
      <c r="P16" s="119" t="s"/>
      <c r="Q16" s="118" t="s"/>
      <c r="R16" s="119" t="s"/>
      <c r="S16" s="118" t="s"/>
      <c r="T16" s="119" t="s"/>
      <c r="U16" s="118" t="s"/>
      <c r="V16" s="119" t="s"/>
      <c r="W16" s="118" t="s"/>
      <c r="X16" s="119" t="s"/>
      <c r="Y16" s="118" t="s"/>
      <c r="Z16" s="119" t="s"/>
      <c r="AA16" s="118" t="s"/>
      <c r="AB16" s="122" t="s"/>
    </row>
    <row r="17" spans="1:28">
      <c r="A17">
        <v>1</v>
      </c>
      <c r="B17" t="s">
        <v>120</v>
      </c>
      <c r="C17" s="118">
        <v>3437.5</v>
      </c>
      <c r="D17" s="119">
        <v>3437.5</v>
      </c>
      <c r="E17" s="118">
        <f>=C17</f>
        <v>3437.5</v>
      </c>
      <c r="F17" s="132">
        <v>3437.5</v>
      </c>
      <c r="G17" s="118">
        <v>3437.5</v>
      </c>
      <c r="H17" s="119">
        <v>3437.5</v>
      </c>
      <c r="I17" s="118">
        <f>=3437.5*1.03</f>
        <v>3540.625</v>
      </c>
      <c r="J17" s="119">
        <v>3540.63</v>
      </c>
      <c r="K17" s="118">
        <f>=I17</f>
        <v>3540.625</v>
      </c>
      <c r="L17" s="119">
        <v>3540.63</v>
      </c>
      <c r="M17" s="118">
        <f>=K17</f>
        <v>3540.625</v>
      </c>
      <c r="N17" s="119">
        <v>3540.63</v>
      </c>
      <c r="O17" s="118">
        <f>=M17</f>
        <v>3540.625</v>
      </c>
      <c r="P17" s="133" t="s"/>
      <c r="Q17" s="118">
        <v>3540.63</v>
      </c>
      <c r="R17" s="119">
        <v>3540.63</v>
      </c>
      <c r="S17" s="118">
        <f>=Q17</f>
        <v>3540.63</v>
      </c>
      <c r="T17" s="134">
        <v>3862.51</v>
      </c>
      <c r="U17" s="118">
        <f>=S17</f>
        <v>3540.63</v>
      </c>
      <c r="V17" s="119">
        <v>3540.63</v>
      </c>
      <c r="W17" s="118">
        <f>=U17</f>
        <v>3540.63</v>
      </c>
      <c r="X17" s="119">
        <v>3540.63</v>
      </c>
      <c r="Y17" s="118">
        <f>=W17</f>
        <v>3540.63</v>
      </c>
      <c r="Z17" s="119">
        <v>3540.63</v>
      </c>
      <c r="AA17" s="118">
        <f>=C17+E17+G17+I17+K17+M17+O17+Q17+S17+U17+W17+Y17</f>
        <v>42178.15</v>
      </c>
      <c r="AB17" s="122">
        <f>=D17+F17+H17+J17+L17+N17+P17+R17+T17+V17+X17+Z17</f>
        <v>38959.42</v>
      </c>
    </row>
    <row r="18" spans="1:28">
      <c r="A18">
        <v>2</v>
      </c>
      <c r="B18" t="s">
        <v>121</v>
      </c>
      <c r="C18" s="118">
        <v>5948.8</v>
      </c>
      <c r="D18" s="119">
        <v>5948.8</v>
      </c>
      <c r="E18" s="118">
        <v>5948.8</v>
      </c>
      <c r="F18" s="120">
        <v>5948.8</v>
      </c>
      <c r="G18" s="118">
        <v>5948.8</v>
      </c>
      <c r="H18" s="119">
        <v>5948.8</v>
      </c>
      <c r="I18" s="135">
        <v>5948.8</v>
      </c>
      <c r="J18" s="136">
        <v>5948.8</v>
      </c>
      <c r="K18" s="137">
        <f>=I18</f>
        <v>5948.8</v>
      </c>
      <c r="L18" s="138">
        <v>0</v>
      </c>
      <c r="M18" s="118">
        <f>=I18</f>
        <v>5948.8</v>
      </c>
      <c r="N18" s="119">
        <v>11897.6</v>
      </c>
      <c r="O18" s="118">
        <f>=I18</f>
        <v>5948.8</v>
      </c>
      <c r="P18" s="119">
        <v>5948.8</v>
      </c>
      <c r="Q18" s="118">
        <f>=I18</f>
        <v>5948.8</v>
      </c>
      <c r="R18" s="119">
        <v>5948.8</v>
      </c>
      <c r="S18" s="118">
        <f>=I18</f>
        <v>5948.8</v>
      </c>
      <c r="T18" s="119">
        <v>5948.8</v>
      </c>
      <c r="U18" s="118">
        <f>=I18</f>
        <v>5948.8</v>
      </c>
      <c r="V18" s="119">
        <v>11897.6</v>
      </c>
      <c r="W18" s="118">
        <f>=I18</f>
        <v>5948.8</v>
      </c>
      <c r="X18" s="119">
        <v>0</v>
      </c>
      <c r="Y18" s="118">
        <f>=I18</f>
        <v>5948.8</v>
      </c>
      <c r="Z18" s="134">
        <v>5949.6</v>
      </c>
      <c r="AA18" s="118">
        <f>=C18+E18+G18+I18+K18+M18+O18+Q18+S18+U18+W18+Y18</f>
        <v>71385.6</v>
      </c>
      <c r="AB18" s="122">
        <f>=D18+F18+H18+J18+L18+N18+P18+R18+T18+V18+X18+Z18</f>
        <v>71386.4</v>
      </c>
    </row>
    <row r="19" spans="1:28" ht="19.5" customHeight="true">
      <c r="A19">
        <v>3</v>
      </c>
      <c r="C19" s="139" t="s"/>
      <c r="D19" s="140" t="s"/>
      <c r="E19" s="139" t="s"/>
      <c r="F19" s="140" t="s"/>
      <c r="G19" s="139" t="s"/>
      <c r="H19" s="140" t="s"/>
      <c r="I19" s="139" t="s"/>
      <c r="J19" s="140" t="s"/>
      <c r="K19" s="139" t="s"/>
      <c r="L19" s="140" t="s"/>
      <c r="M19" s="139" t="s"/>
      <c r="N19" s="140" t="s"/>
      <c r="O19" s="139" t="s"/>
      <c r="P19" s="140" t="s"/>
      <c r="Q19" s="139" t="s"/>
      <c r="R19" s="141" t="s"/>
      <c r="S19" s="142" t="s"/>
      <c r="T19" s="141" t="s"/>
      <c r="U19" s="142" t="s"/>
      <c r="V19" s="141" t="s"/>
      <c r="W19" s="142" t="s"/>
      <c r="X19" s="141" t="s"/>
      <c r="Y19" s="142" t="s"/>
      <c r="Z19" s="141" t="s"/>
      <c r="AA19" s="142" t="s"/>
      <c r="AB19" s="143" t="s"/>
    </row>
    <row r="20" spans="3:28">
      <c r="C20" s="118" t="s"/>
      <c r="D20" s="119" t="s"/>
      <c r="E20" s="118" t="s"/>
      <c r="F20" s="120" t="s"/>
      <c r="G20" s="118" t="s"/>
      <c r="H20" s="119" t="s"/>
      <c r="I20" s="118" t="s"/>
      <c r="J20" s="119" t="s"/>
      <c r="K20" s="118" t="s"/>
      <c r="L20" s="119" t="s"/>
      <c r="M20" s="118" t="s"/>
      <c r="N20" s="119" t="s"/>
      <c r="O20" s="118" t="s"/>
      <c r="P20" s="119" t="s"/>
      <c r="Q20" s="118" t="s"/>
      <c r="R20" s="119" t="s"/>
      <c r="S20" s="118" t="s"/>
      <c r="T20" s="119" t="s"/>
      <c r="U20" s="118" t="s"/>
      <c r="V20" s="119" t="s"/>
      <c r="W20" s="118" t="s"/>
      <c r="X20" s="119" t="s"/>
      <c r="Y20" s="118" t="s"/>
      <c r="Z20" s="119" t="s"/>
      <c r="AA20" s="118" t="s"/>
      <c r="AB20" s="122" t="s"/>
    </row>
    <row r="21" spans="1:28">
      <c r="A21" s="114" t="s">
        <v>20</v>
      </c>
      <c r="B21" s="144" t="s"/>
      <c r="C21" s="115">
        <f>=SUM(C6:C20)</f>
        <v>70595.94</v>
      </c>
      <c r="D21" s="116">
        <f>=SUM(D6:D19)</f>
        <v>69200.92</v>
      </c>
      <c r="E21" s="115">
        <f>=SUM(E6:E20)</f>
        <v>17362.8</v>
      </c>
      <c r="F21" s="145">
        <f>=SUM(F6:F19)</f>
        <v>16186.48</v>
      </c>
      <c r="G21" s="115">
        <f>=SUM(G6:G20)</f>
        <v>40367.65</v>
      </c>
      <c r="H21" s="116">
        <f>=SUM(H6:H19)</f>
        <v>37234.82</v>
      </c>
      <c r="I21" s="115">
        <f>=SUM(I6:I20)</f>
        <v>136899.065</v>
      </c>
      <c r="J21" s="116">
        <f>=SUM(J6:J19)</f>
        <v>130236.69</v>
      </c>
      <c r="K21" s="115">
        <f>=SUM(K6:K20)</f>
        <v>17465.925</v>
      </c>
      <c r="L21" s="116">
        <f>=SUM(L4:L20)</f>
        <v>8974.29</v>
      </c>
      <c r="M21" s="115">
        <f>=SUM(M6:M20)</f>
        <v>17465.925</v>
      </c>
      <c r="N21" s="116">
        <f>=SUM(N4:N20)</f>
        <v>20952.35</v>
      </c>
      <c r="O21" s="115">
        <f>=SUM(O6:O20)</f>
        <v>70699.065</v>
      </c>
      <c r="P21" s="116">
        <f>=SUM(P4:P20)</f>
        <v>63966.92</v>
      </c>
      <c r="Q21" s="115">
        <f>=SUM(Q6:Q20)</f>
        <v>17465.93</v>
      </c>
      <c r="R21" s="116">
        <f>=SUM(R4:R20)</f>
        <v>14523.32</v>
      </c>
      <c r="S21" s="115">
        <f>=SUM(S6:S20)</f>
        <v>63655.9255</v>
      </c>
      <c r="T21" s="115">
        <f>=SUM(T6:T20)</f>
        <v>61298.83</v>
      </c>
      <c r="U21" s="115">
        <f>=SUM(U6:U20)</f>
        <v>78567.18125</v>
      </c>
      <c r="V21" s="115">
        <f>=SUM(V6:V20)</f>
        <v>78375.97</v>
      </c>
      <c r="W21" s="115">
        <f>=SUM(W6:W20)</f>
        <v>22465.93</v>
      </c>
      <c r="X21" s="115">
        <f>=SUM(X6:X20)</f>
        <v>13653.38</v>
      </c>
      <c r="Y21" s="115">
        <f>=SUM(Y6:Y20)</f>
        <v>22465.93</v>
      </c>
      <c r="Z21" s="116">
        <f>=SUM(Z6:Z20)</f>
        <v>12510.18</v>
      </c>
      <c r="AA21" s="146">
        <f>=C21+E21+G21+I21+K21+M21+O21+Q21+S21+U21+W21+Y21</f>
        <v>575477.26675</v>
      </c>
      <c r="AB21" s="147">
        <f>=D21+F21+H21+J21+L21+N21+P21+R21+T21+V21+X21+Z21</f>
        <v>527114.15</v>
      </c>
    </row>
    <row r="22" spans="3:28">
      <c r="C22" s="118" t="s"/>
      <c r="D22" s="119" t="s"/>
      <c r="E22" s="118" t="s"/>
      <c r="F22" s="148" t="s"/>
      <c r="G22" s="118" t="s"/>
      <c r="H22" s="119" t="s"/>
      <c r="I22" s="118" t="s"/>
      <c r="J22" s="119" t="s"/>
      <c r="K22" s="118" t="s"/>
      <c r="L22" s="119" t="s"/>
      <c r="M22" s="118" t="s"/>
      <c r="N22" s="119" t="s"/>
      <c r="O22" s="118" t="s"/>
      <c r="P22" s="119" t="s"/>
      <c r="Q22" s="118" t="s"/>
      <c r="R22" s="119" t="s"/>
      <c r="S22" s="118" t="s"/>
      <c r="T22" s="119" t="s"/>
      <c r="U22" s="118" t="s"/>
      <c r="V22" s="119" t="s"/>
      <c r="W22" s="118" t="s"/>
      <c r="X22" s="119" t="s"/>
      <c r="Y22" s="118" t="s"/>
      <c r="Z22" s="119" t="s"/>
      <c r="AA22" s="118" t="s"/>
      <c r="AB22" s="122" t="s"/>
    </row>
    <row r="23" spans="1:28">
      <c r="A23" s="149" t="s">
        <v>21</v>
      </c>
      <c r="C23" s="118" t="s"/>
      <c r="D23" s="119" t="s"/>
      <c r="E23" s="118" t="s"/>
      <c r="F23" s="148" t="s"/>
      <c r="G23" s="118" t="s"/>
      <c r="H23" s="119" t="s"/>
      <c r="I23" s="118" t="s"/>
      <c r="J23" s="119" t="s"/>
      <c r="K23" s="118" t="s"/>
      <c r="L23" s="119" t="s"/>
      <c r="M23" s="118" t="s"/>
      <c r="N23" s="119" t="s"/>
      <c r="O23" s="118" t="s"/>
      <c r="P23" s="119" t="s"/>
      <c r="Q23" s="118" t="s"/>
      <c r="R23" s="119" t="s"/>
      <c r="S23" s="118" t="s"/>
      <c r="T23" s="119" t="s"/>
      <c r="U23" s="118" t="s"/>
      <c r="V23" s="119" t="s"/>
      <c r="W23" s="118" t="s"/>
      <c r="X23" s="119" t="s"/>
      <c r="Y23" s="118" t="s"/>
      <c r="Z23" s="119" t="s"/>
      <c r="AA23" s="118" t="s"/>
      <c r="AB23" s="122" t="s"/>
    </row>
    <row r="24" spans="1:28">
      <c r="A24" t="s">
        <v>39</v>
      </c>
      <c r="C24" s="118">
        <f>=C14*7.7%+(C17+C18+C19)*5.5%</f>
        <v>745.437</v>
      </c>
      <c r="D24" s="119" t="s"/>
      <c r="E24" s="118">
        <f>=E14*7.7%+(E17+E18+E19)*5.5%</f>
        <v>745.437</v>
      </c>
      <c r="F24" s="148" t="s"/>
      <c r="G24" s="118">
        <f>=G14*7.7%+(G17+G18+G19)*5.5%</f>
        <v>745.437</v>
      </c>
      <c r="H24" s="119" t="s"/>
      <c r="I24" s="118">
        <f>=I14*7.7%+(I17+I18+I19)*5.5%</f>
        <v>751.108875</v>
      </c>
      <c r="J24" s="119" t="s"/>
      <c r="K24" s="118">
        <f>=K14*7.7%+(K17+K18+K19)*5.5%</f>
        <v>751.108875</v>
      </c>
      <c r="L24" s="119" t="s"/>
      <c r="M24" s="118">
        <f>=M14*7.7%+(M17+M18+M19)*5.5%</f>
        <v>751.108875</v>
      </c>
      <c r="N24" s="119" t="s"/>
      <c r="O24" s="118">
        <f>=O14*7.7%+(O17+O18+O19)*5.5%</f>
        <v>751.108875</v>
      </c>
      <c r="P24" s="119" t="s"/>
      <c r="Q24" s="118">
        <f>=Q14*7.7%+(Q17+Q18+Q19)*5.5%</f>
        <v>751.10915</v>
      </c>
      <c r="R24" s="119" t="s"/>
      <c r="S24" s="118">
        <f>=S14*7.7%+(S17+S18+S19)*5.5%</f>
        <v>751.10915</v>
      </c>
      <c r="T24" s="119" t="s"/>
      <c r="U24" s="118">
        <f>=U14*7.7%+(U17+U18+U19)*5.5%</f>
        <v>751.10915</v>
      </c>
      <c r="V24" s="119" t="s"/>
      <c r="W24" s="118">
        <f>=W14*7.7%+(W17+W18+W19)*5.5%</f>
        <v>751.10915</v>
      </c>
      <c r="X24" s="119" t="s"/>
      <c r="Y24" s="118">
        <f>=Y14*7.7%+(Y17+Y18+Y19)*5.5%</f>
        <v>751.10915</v>
      </c>
      <c r="Z24" s="119">
        <f>=Z14*7.7%+(Z17+Z18+Z19)*5.5%</f>
        <v>754.4988</v>
      </c>
      <c r="AA24" s="118">
        <f>=C24+E24+G24+I24+K24+M24+O24+Q24+S24+U24+W24+Y24</f>
        <v>8996.29225</v>
      </c>
      <c r="AB24" s="122">
        <f>=D24+F24+H24+J24+L24+N24+P24+R24+T24+V24+X24+Z24</f>
        <v>754.4988</v>
      </c>
    </row>
    <row r="25" spans="1:28">
      <c r="A25" t="s">
        <v>22</v>
      </c>
      <c r="C25" s="118">
        <v>10</v>
      </c>
      <c r="D25" s="119" t="s"/>
      <c r="E25" s="118">
        <v>10</v>
      </c>
      <c r="F25" s="148" t="s"/>
      <c r="G25" s="118">
        <v>10</v>
      </c>
      <c r="H25" s="119" t="s"/>
      <c r="I25" s="118">
        <v>10</v>
      </c>
      <c r="J25" s="119" t="s"/>
      <c r="K25" s="118">
        <v>10</v>
      </c>
      <c r="L25" s="119" t="s"/>
      <c r="M25" s="118">
        <v>10</v>
      </c>
      <c r="N25" s="119" t="s"/>
      <c r="O25" s="118">
        <v>10</v>
      </c>
      <c r="P25" s="119" t="s"/>
      <c r="Q25" s="118">
        <v>10</v>
      </c>
      <c r="R25" s="119" t="s"/>
      <c r="S25" s="118">
        <v>10</v>
      </c>
      <c r="T25" s="119" t="s"/>
      <c r="U25" s="118">
        <v>10</v>
      </c>
      <c r="V25" s="119" t="s"/>
      <c r="W25" s="118">
        <v>10</v>
      </c>
      <c r="X25" s="119" t="s"/>
      <c r="Y25" s="118">
        <v>10</v>
      </c>
      <c r="Z25" s="119" t="s"/>
      <c r="AA25" s="118">
        <f>=C25+E25+G25+I25+K25+M25+O25+Q25+S25+U25+W25+Y25</f>
        <v>120</v>
      </c>
      <c r="AB25" s="122">
        <f>=D25+F25+H25+J25+L25+N25+P25+R25+T25+V25+X25+Z25</f>
        <v>0</v>
      </c>
    </row>
    <row r="26" spans="1:28">
      <c r="A26" t="s">
        <v>23</v>
      </c>
      <c r="C26" s="135">
        <f>=440+220</f>
        <v>660</v>
      </c>
      <c r="D26" s="136" t="s"/>
      <c r="E26" s="118">
        <v>1105</v>
      </c>
      <c r="F26" s="148" t="s"/>
      <c r="G26" s="118" t="s"/>
      <c r="H26" s="119" t="s"/>
      <c r="I26" s="118">
        <v>220</v>
      </c>
      <c r="J26" s="119" t="s"/>
      <c r="K26" s="118" t="s"/>
      <c r="L26" s="119" t="s"/>
      <c r="M26" s="118" t="s"/>
      <c r="N26" s="119" t="s"/>
      <c r="O26" s="118" t="s"/>
      <c r="P26" s="119" t="s"/>
      <c r="Q26" s="118">
        <v>880</v>
      </c>
      <c r="R26" s="119" t="s"/>
      <c r="S26" s="118" t="s"/>
      <c r="T26" s="119" t="s"/>
      <c r="U26" s="118" t="s"/>
      <c r="V26" s="119" t="s"/>
      <c r="W26" s="118" t="s"/>
      <c r="X26" s="119" t="s"/>
      <c r="Y26" s="118">
        <v>880</v>
      </c>
      <c r="Z26" s="119" t="s"/>
      <c r="AA26" s="118">
        <f>=C26+E26+G26+I26+K26+M26+O26+Q26+S26+U26+W26+Y26</f>
        <v>3745</v>
      </c>
      <c r="AB26" s="122">
        <f>=D26+F26+H26+J26+L26+N26+P26+R26+T26+V26+X26+Z26</f>
        <v>0</v>
      </c>
    </row>
    <row r="27" spans="1:28">
      <c r="A27" t="s">
        <v>24</v>
      </c>
      <c r="C27" s="118" t="s"/>
      <c r="D27" s="119" t="s"/>
      <c r="E27" s="118" t="s"/>
      <c r="F27" s="148" t="s"/>
      <c r="G27" s="118" t="s"/>
      <c r="H27" s="119" t="s"/>
      <c r="I27" s="118" t="s"/>
      <c r="J27" s="119" t="s"/>
      <c r="K27" s="118" t="s"/>
      <c r="L27" s="119" t="s"/>
      <c r="M27" s="118" t="s"/>
      <c r="N27" s="119" t="s"/>
      <c r="O27" s="118" t="s"/>
      <c r="P27" s="119" t="s"/>
      <c r="Q27" s="118" t="s"/>
      <c r="R27" s="119" t="s"/>
      <c r="S27" s="118">
        <v>20000</v>
      </c>
      <c r="T27" s="119" t="s"/>
      <c r="U27" s="118" t="s"/>
      <c r="V27" s="119" t="s"/>
      <c r="W27" s="118" t="s"/>
      <c r="X27" s="119" t="s"/>
      <c r="Y27" s="118" t="s"/>
      <c r="Z27" s="119" t="s"/>
      <c r="AA27" s="118">
        <f>=C27+E27+G27+I27+K27+M27+O27+Q27+S27+U27+W27+Y27</f>
        <v>20000</v>
      </c>
      <c r="AB27" s="122">
        <f>=D27+F27+H27+J27+L27+N27+P27+R27+T27+V27+X27+Z27</f>
        <v>0</v>
      </c>
    </row>
    <row r="28" spans="1:28">
      <c r="A28" t="s">
        <v>25</v>
      </c>
      <c r="C28" s="118" t="s"/>
      <c r="D28" s="119" t="s"/>
      <c r="E28" s="118" t="s"/>
      <c r="F28" s="148" t="s"/>
      <c r="G28" s="118" t="s"/>
      <c r="H28" s="119" t="s"/>
      <c r="I28" s="118" t="s"/>
      <c r="J28" s="119" t="s"/>
      <c r="K28" s="118" t="s"/>
      <c r="L28" s="119" t="s"/>
      <c r="M28" s="118" t="s"/>
      <c r="N28" s="119" t="s"/>
      <c r="O28" s="118" t="s"/>
      <c r="P28" s="119" t="s"/>
      <c r="Q28" s="118" t="s"/>
      <c r="R28" s="119" t="s"/>
      <c r="S28" s="118">
        <v>28000</v>
      </c>
      <c r="T28" s="119" t="s"/>
      <c r="U28" s="118" t="s"/>
      <c r="V28" s="119" t="s"/>
      <c r="W28" s="118" t="s"/>
      <c r="X28" s="119" t="s"/>
      <c r="Y28" s="118" t="s"/>
      <c r="Z28" s="119" t="s"/>
      <c r="AA28" s="118">
        <f>=C28+E28+G28+I28+K28+M28+O28+Q28+S28+U28+W28+Y28</f>
        <v>28000</v>
      </c>
      <c r="AB28" s="122">
        <f>=D28+F28+H28+J28+L28+N28+P28+R28+T28+V28+X28+Z28</f>
        <v>0</v>
      </c>
    </row>
    <row r="29" spans="3:28">
      <c r="C29" s="118" t="s"/>
      <c r="D29" s="119" t="s"/>
      <c r="E29" s="118" t="s"/>
      <c r="F29" s="148" t="s"/>
      <c r="G29" s="118" t="s"/>
      <c r="H29" s="119" t="s"/>
      <c r="I29" s="118" t="s"/>
      <c r="J29" s="119" t="s"/>
      <c r="K29" s="118" t="s"/>
      <c r="L29" s="119" t="s"/>
      <c r="M29" s="118" t="s"/>
      <c r="N29" s="119" t="s"/>
      <c r="O29" s="118" t="s"/>
      <c r="P29" s="119" t="s"/>
      <c r="Q29" s="118" t="s"/>
      <c r="R29" s="119" t="s"/>
      <c r="S29" s="118" t="s"/>
      <c r="T29" s="119" t="s"/>
      <c r="U29" s="118" t="s"/>
      <c r="V29" s="119" t="s"/>
      <c r="W29" s="118" t="s"/>
      <c r="X29" s="119" t="s"/>
      <c r="Y29" s="118" t="s"/>
      <c r="Z29" s="119" t="s"/>
      <c r="AA29" s="118">
        <f>=C29+E29+G29+I29+K29+M29+O29+Q29+S29+U29+W29+Y29</f>
        <v>0</v>
      </c>
      <c r="AB29" s="122" t="s"/>
    </row>
    <row r="30" spans="1:28">
      <c r="A30" s="114" t="s">
        <v>26</v>
      </c>
      <c r="B30" s="114" t="s"/>
      <c r="C30" s="115">
        <f>=C21/11-SUM(C24+C26+C27+C28)/11</f>
        <v>6290.04572727273</v>
      </c>
      <c r="D30" s="116" t="s"/>
      <c r="E30" s="115">
        <f>=E21/11-SUM(E24+E26+E27+E28)/11</f>
        <v>1410.21481818182</v>
      </c>
      <c r="F30" s="150" t="s"/>
      <c r="G30" s="115">
        <f>=G21/11-SUM(G24+G26+G27+G28)/11</f>
        <v>3602.01936363637</v>
      </c>
      <c r="H30" s="116" t="s"/>
      <c r="I30" s="115">
        <f>=I21/11-SUM(I24+I26+I27+I28)/11</f>
        <v>12357.0869204545</v>
      </c>
      <c r="J30" s="116" t="s"/>
      <c r="K30" s="115">
        <f>=K21/11-SUM(K24+K26+K27+K28)/11</f>
        <v>1519.52873863636</v>
      </c>
      <c r="L30" s="116" t="s"/>
      <c r="M30" s="115">
        <f>=M21/11-SUM(M24+M26+M27+M28)/11</f>
        <v>1519.52873863636</v>
      </c>
      <c r="N30" s="116" t="s"/>
      <c r="O30" s="115">
        <f>=O21/11-SUM(O24+O26+O27+O28)/11</f>
        <v>6358.90510227273</v>
      </c>
      <c r="P30" s="116" t="s"/>
      <c r="Q30" s="115">
        <f>=Q21/11-SUM(Q24+Q26+Q27+Q28)/11</f>
        <v>1439.52916818182</v>
      </c>
      <c r="R30" s="116" t="s"/>
      <c r="S30" s="115">
        <f>=S21/11-SUM(S24+S26+S27+S28)/11</f>
        <v>1354.98330454545</v>
      </c>
      <c r="T30" s="116" t="s"/>
      <c r="U30" s="115">
        <f>=U21/11-SUM(U24+U26+U27+U28)/11</f>
        <v>7074.18837272727</v>
      </c>
      <c r="V30" s="116" t="s"/>
      <c r="W30" s="115">
        <f>=W21/11-SUM(W24+W26+W27+W28)/11</f>
        <v>1974.07462272727</v>
      </c>
      <c r="X30" s="116" t="s"/>
      <c r="Y30" s="115">
        <f>=Y21/11-SUM(Y24+Y26+Y27+Y28)/11</f>
        <v>1894.07462272727</v>
      </c>
      <c r="Z30" s="116">
        <f>=Z21/11-SUM(Z24+Z26+Z27+Z28)/11</f>
        <v>1068.69829090909</v>
      </c>
      <c r="AA30" s="146">
        <f>=C30+E30+G30+I30+K30+M30+O30+Q30+S30+U30+W30+Y30</f>
        <v>46794.1795</v>
      </c>
      <c r="AB30" s="147">
        <f>=D30+F30+H30+J30+L30+N30+P30+R30+T30+V30+X30+Z30</f>
        <v>1068.69829090909</v>
      </c>
    </row>
    <row r="31" spans="1:28">
      <c r="A31" s="114" t="s">
        <v>27</v>
      </c>
      <c r="B31" s="114" t="s"/>
      <c r="C31" s="115">
        <f>=SUM(C24:C30)</f>
        <v>7705.48272727273</v>
      </c>
      <c r="D31" s="116" t="s"/>
      <c r="E31" s="115">
        <f>=SUM(E24:E30)</f>
        <v>3270.65181818182</v>
      </c>
      <c r="F31" s="150" t="s"/>
      <c r="G31" s="115">
        <f>=SUM(G24:G30)</f>
        <v>4357.45636363637</v>
      </c>
      <c r="H31" s="116" t="s"/>
      <c r="I31" s="115">
        <f>=SUM(I24:I30)</f>
        <v>13338.1957954545</v>
      </c>
      <c r="J31" s="116" t="s"/>
      <c r="K31" s="115">
        <f>=SUM(K24:K30)</f>
        <v>2280.63761363636</v>
      </c>
      <c r="L31" s="116" t="s"/>
      <c r="M31" s="115">
        <f>=SUM(M24:M30)</f>
        <v>2280.63761363636</v>
      </c>
      <c r="N31" s="116" t="s"/>
      <c r="O31" s="115">
        <f>=SUM(O24:O30)</f>
        <v>7120.01397727273</v>
      </c>
      <c r="P31" s="116" t="s"/>
      <c r="Q31" s="115">
        <f>=SUM(Q24:Q30)</f>
        <v>3080.63831818182</v>
      </c>
      <c r="R31" s="116" t="s"/>
      <c r="S31" s="115">
        <f>=SUM(S24:S30)</f>
        <v>50116.0924545455</v>
      </c>
      <c r="T31" s="116" t="s"/>
      <c r="U31" s="115">
        <f>=SUM(U24:U30)</f>
        <v>7835.29752272728</v>
      </c>
      <c r="V31" s="116" t="s"/>
      <c r="W31" s="115">
        <f>=SUM(W24:W30)</f>
        <v>2735.18377272727</v>
      </c>
      <c r="X31" s="116" t="s"/>
      <c r="Y31" s="115">
        <f>=SUM(Y24:Y30)</f>
        <v>3535.18377272727</v>
      </c>
      <c r="Z31" s="116">
        <f>=SUM(Z24:Z30)</f>
        <v>1823.19709090909</v>
      </c>
      <c r="AA31" s="146">
        <f>=C31+E31+G31+I31+K31+M31+O31+Q31+S31+U31+W31+Y31</f>
        <v>107655.47175</v>
      </c>
      <c r="AB31" s="147">
        <f>=D31+F31+H31+J31+L31+N31+P31+R31+T31+V31+X31+Z31</f>
        <v>1823.19709090909</v>
      </c>
    </row>
    <row r="32" spans="1:28">
      <c r="A32" s="149" t="s"/>
      <c r="C32" s="118" t="s"/>
      <c r="D32" s="119" t="s"/>
      <c r="E32" s="118" t="s"/>
      <c r="F32" s="148" t="s"/>
      <c r="G32" s="118" t="s"/>
      <c r="H32" s="119" t="s"/>
      <c r="I32" s="118" t="s"/>
      <c r="J32" s="119" t="s"/>
      <c r="K32" s="118" t="s"/>
      <c r="L32" s="119" t="s"/>
      <c r="M32" s="118" t="s"/>
      <c r="N32" s="119" t="s"/>
      <c r="O32" s="118" t="s"/>
      <c r="P32" s="119" t="s"/>
      <c r="Q32" s="118" t="s"/>
      <c r="R32" s="119" t="s"/>
      <c r="S32" s="118" t="s"/>
      <c r="T32" s="119" t="s"/>
      <c r="U32" s="118" t="s"/>
      <c r="V32" s="119" t="s"/>
      <c r="W32" s="118" t="s"/>
      <c r="X32" s="119" t="s"/>
      <c r="Y32" s="118" t="s"/>
      <c r="Z32" s="119" t="s"/>
      <c r="AA32" s="118" t="s"/>
      <c r="AB32" s="122" t="s"/>
    </row>
    <row r="33" spans="3:28">
      <c r="C33" s="118" t="s"/>
      <c r="D33" s="119" t="s"/>
      <c r="E33" s="118" t="s"/>
      <c r="F33" s="148" t="s"/>
      <c r="G33" s="118" t="s"/>
      <c r="H33" s="119" t="s"/>
      <c r="I33" s="118" t="s"/>
      <c r="J33" s="119" t="s"/>
      <c r="K33" s="118" t="s"/>
      <c r="L33" s="119" t="s"/>
      <c r="M33" s="118" t="s"/>
      <c r="N33" s="119" t="s"/>
      <c r="O33" s="118" t="s"/>
      <c r="P33" s="119" t="s"/>
      <c r="Q33" s="118" t="s"/>
      <c r="R33" s="119" t="s"/>
      <c r="S33" s="118" t="s"/>
      <c r="T33" s="119" t="s"/>
      <c r="U33" s="118" t="s"/>
      <c r="V33" s="119" t="s"/>
      <c r="W33" s="118" t="s"/>
      <c r="X33" s="119" t="s"/>
      <c r="Y33" s="118" t="s"/>
      <c r="Z33" s="119" t="s"/>
      <c r="AA33" s="118" t="s"/>
      <c r="AB33" s="122" t="s"/>
    </row>
    <row r="34" spans="1:28">
      <c r="A34" s="149" t="s">
        <v>28</v>
      </c>
      <c r="B34" s="149" t="s"/>
      <c r="C34" s="151">
        <f>=C21-C31</f>
        <v>62890.4572727273</v>
      </c>
      <c r="D34" s="152">
        <f>=D21-D31</f>
        <v>69200.92</v>
      </c>
      <c r="E34" s="151">
        <f>=E21-E31</f>
        <v>14092.1481818182</v>
      </c>
      <c r="F34" s="152">
        <f>=F21-F31</f>
        <v>16186.48</v>
      </c>
      <c r="G34" s="151">
        <f>=G21-G31</f>
        <v>36010.1936363637</v>
      </c>
      <c r="H34" s="152">
        <f>=H21-H31</f>
        <v>37234.82</v>
      </c>
      <c r="I34" s="151">
        <f>=I21-I31</f>
        <v>123560.869204545</v>
      </c>
      <c r="J34" s="152">
        <f>=J21-J31</f>
        <v>130236.69</v>
      </c>
      <c r="K34" s="151">
        <f>=K21-K31</f>
        <v>15185.2873863636</v>
      </c>
      <c r="L34" s="152">
        <f>=L21-L31</f>
        <v>8974.29</v>
      </c>
      <c r="M34" s="151">
        <f>=M21-M31</f>
        <v>15185.2873863636</v>
      </c>
      <c r="N34" s="152">
        <f>=N21-N31</f>
        <v>20952.35</v>
      </c>
      <c r="O34" s="151">
        <f>=O21-O31</f>
        <v>63579.0510227273</v>
      </c>
      <c r="P34" s="152" t="s"/>
      <c r="Q34" s="151">
        <f>=Q21-Q31</f>
        <v>14385.2916818182</v>
      </c>
      <c r="R34" s="152" t="s"/>
      <c r="S34" s="151">
        <f>=S21-S31</f>
        <v>13539.8330454545</v>
      </c>
      <c r="T34" s="152" t="s"/>
      <c r="U34" s="151">
        <f>=U21-U31</f>
        <v>70731.8837272728</v>
      </c>
      <c r="V34" s="152" t="s"/>
      <c r="W34" s="151">
        <f>=W21-W31</f>
        <v>19730.7462272727</v>
      </c>
      <c r="X34" s="152" t="s"/>
      <c r="Y34" s="151">
        <f>=Y21-Y31</f>
        <v>18930.7462272727</v>
      </c>
      <c r="Z34" s="152" t="s"/>
      <c r="AA34" s="151">
        <f>=C34+E34+G34+I34+K34+M34+O34+Q34+S34+U34+W34+Y34</f>
        <v>467821.795</v>
      </c>
      <c r="AB34" s="153">
        <f>=D34+F34+H34+J34+L34+N34+P34+R34+T34+V34+X34+Z34</f>
        <v>285805.5</v>
      </c>
    </row>
    <row r="35" spans="2:27">
      <c r="B35" s="149" t="s">
        <v>43</v>
      </c>
      <c r="C35" s="90" t="s"/>
      <c r="D35" s="90" t="s"/>
      <c r="E35" s="90" t="s"/>
      <c r="F35" s="154" t="s"/>
      <c r="G35" s="90" t="s"/>
      <c r="H35" s="90" t="s"/>
      <c r="I35" s="90" t="s"/>
      <c r="J35" s="90" t="s"/>
      <c r="K35" s="90" t="s"/>
      <c r="L35" s="90" t="s"/>
      <c r="M35" s="90" t="s"/>
      <c r="N35" s="90" t="s"/>
      <c r="O35" s="90" t="s"/>
      <c r="P35" s="90" t="s"/>
      <c r="Q35" s="90" t="s"/>
      <c r="R35" s="90" t="s"/>
      <c r="S35" s="90" t="s"/>
      <c r="T35" s="90" t="s"/>
      <c r="U35" s="90" t="s"/>
      <c r="V35" s="90" t="s"/>
      <c r="W35" s="90" t="s"/>
      <c r="X35" s="90" t="s"/>
      <c r="Y35" s="90" t="s"/>
      <c r="Z35" s="90" t="s"/>
      <c r="AA35" s="90" t="s"/>
    </row>
    <row r="36" spans="2:27">
      <c r="B36" t="s">
        <v>44</v>
      </c>
      <c r="C36" s="90" t="s"/>
      <c r="D36" s="90" t="s"/>
      <c r="E36" s="90" t="s"/>
      <c r="F36" s="154" t="s"/>
      <c r="G36" s="90" t="s"/>
      <c r="H36" s="90" t="s"/>
      <c r="I36" s="90" t="s"/>
      <c r="J36" s="90" t="s"/>
      <c r="K36" s="90" t="s"/>
      <c r="L36" s="90" t="s"/>
      <c r="M36" s="90" t="s"/>
      <c r="N36" s="90" t="s"/>
      <c r="O36" s="90" t="s"/>
      <c r="P36" s="90" t="s"/>
      <c r="Q36" s="90" t="s"/>
      <c r="R36" s="90" t="s"/>
      <c r="S36" s="90" t="s"/>
      <c r="T36" s="90" t="s"/>
      <c r="U36" s="90" t="s"/>
      <c r="V36" s="90" t="s"/>
      <c r="W36" s="90" t="s"/>
      <c r="X36" s="90" t="s"/>
      <c r="Y36" s="90" t="s"/>
      <c r="Z36" s="90" t="s"/>
      <c r="AA36" s="90" t="s"/>
    </row>
    <row r="37" spans="2:27">
      <c r="B37" t="s">
        <v>45</v>
      </c>
      <c r="C37" s="90" t="s"/>
      <c r="D37" s="90" t="s"/>
      <c r="E37" s="90" t="s"/>
      <c r="F37" s="154" t="s"/>
      <c r="G37" s="90" t="s"/>
      <c r="H37" s="90" t="s"/>
      <c r="I37" s="90" t="s"/>
      <c r="J37" s="90" t="s"/>
      <c r="K37" s="90" t="s"/>
      <c r="L37" s="90" t="s"/>
      <c r="M37" s="90" t="s"/>
      <c r="N37" s="90" t="s"/>
      <c r="O37" s="90" t="s"/>
      <c r="P37" s="90" t="s"/>
      <c r="Q37" s="90" t="s"/>
      <c r="R37" s="90" t="s"/>
      <c r="S37" s="90" t="s"/>
      <c r="T37" s="90" t="s"/>
      <c r="U37" s="90" t="s"/>
      <c r="V37" s="90" t="s"/>
      <c r="W37" s="90" t="s"/>
      <c r="X37" s="90" t="s"/>
      <c r="Y37" s="90" t="s"/>
      <c r="Z37" s="90" t="s"/>
      <c r="AA37" s="90" t="s"/>
    </row>
    <row r="38" spans="2:27">
      <c r="B38" t="s">
        <v>46</v>
      </c>
      <c r="C38" s="90" t="s"/>
      <c r="D38" s="90" t="s"/>
      <c r="E38" s="90" t="s"/>
      <c r="F38" s="154" t="s"/>
      <c r="G38" s="90" t="s"/>
      <c r="H38" s="90" t="s"/>
      <c r="I38" s="90" t="s"/>
      <c r="J38" s="90" t="s"/>
      <c r="K38" s="90" t="s"/>
      <c r="L38" s="90" t="s"/>
      <c r="M38" s="90" t="s"/>
      <c r="N38" s="90" t="s"/>
      <c r="O38" s="90" t="s"/>
      <c r="P38" s="90" t="s"/>
      <c r="Q38" s="90" t="s"/>
      <c r="R38" s="90" t="s"/>
      <c r="S38" s="90" t="s"/>
      <c r="T38" s="90" t="s"/>
      <c r="U38" s="90" t="s"/>
      <c r="V38" s="90" t="s"/>
      <c r="W38" s="90" t="s"/>
      <c r="X38" s="90" t="s"/>
      <c r="Y38" s="90" t="s"/>
      <c r="Z38" s="90" t="s"/>
      <c r="AA38" s="90" t="s"/>
    </row>
    <row r="39" spans="2:27">
      <c r="B39" t="s">
        <v>47</v>
      </c>
      <c r="C39" s="90" t="s"/>
      <c r="D39" s="90" t="s"/>
      <c r="E39" s="90" t="s"/>
      <c r="F39" s="154" t="s"/>
      <c r="G39" s="90" t="s"/>
      <c r="H39" s="90" t="s"/>
      <c r="I39" s="90" t="s"/>
      <c r="J39" s="90" t="s"/>
      <c r="K39" s="90" t="s"/>
      <c r="L39" s="90" t="s"/>
      <c r="M39" s="90" t="s"/>
      <c r="N39" s="90" t="s"/>
      <c r="O39" s="90" t="s"/>
      <c r="P39" s="90" t="s"/>
      <c r="Q39" s="90" t="s"/>
      <c r="R39" s="90" t="s"/>
      <c r="S39" s="90" t="s"/>
      <c r="T39" s="90" t="s"/>
      <c r="U39" s="90" t="s"/>
      <c r="V39" s="90" t="s"/>
      <c r="W39" s="90" t="s"/>
      <c r="X39" s="90" t="s"/>
      <c r="Y39" s="90" t="s"/>
      <c r="Z39" s="90" t="s"/>
      <c r="AA39" s="90" t="s"/>
    </row>
    <row r="40" spans="3:27">
      <c r="C40" s="90" t="s"/>
      <c r="D40" s="90" t="s"/>
      <c r="E40" s="90" t="s"/>
      <c r="F40" s="154" t="s"/>
      <c r="G40" s="90" t="s"/>
      <c r="H40" s="90" t="s"/>
      <c r="I40" s="90" t="s"/>
      <c r="J40" s="90" t="s"/>
      <c r="K40" s="90" t="s"/>
      <c r="L40" s="90" t="s"/>
      <c r="M40" s="90" t="s"/>
      <c r="N40" s="90" t="s"/>
      <c r="O40" s="90" t="s"/>
      <c r="P40" s="90" t="s"/>
      <c r="Q40" s="90" t="s"/>
      <c r="R40" s="90" t="s"/>
      <c r="S40" s="90" t="s"/>
      <c r="T40" s="90" t="s"/>
      <c r="U40" s="90" t="s"/>
      <c r="V40" s="90" t="s"/>
      <c r="W40" s="90" t="s"/>
      <c r="X40" s="90" t="s"/>
      <c r="Y40" s="90" t="s"/>
      <c r="Z40" s="90" t="s"/>
      <c r="AA40" s="90" t="s"/>
    </row>
    <row r="41" spans="2:27">
      <c r="B41" t="s">
        <v>48</v>
      </c>
      <c r="C41" s="90" t="s"/>
      <c r="D41" s="90" t="s"/>
      <c r="E41" s="90" t="s"/>
      <c r="F41" s="154" t="s"/>
      <c r="G41" s="90" t="s"/>
      <c r="H41" s="90" t="s"/>
      <c r="I41" s="90" t="s"/>
      <c r="J41" s="90" t="s"/>
      <c r="K41" s="90" t="s"/>
      <c r="L41" s="90" t="s"/>
      <c r="M41" s="90" t="s"/>
      <c r="N41" s="90" t="s"/>
      <c r="O41" s="90" t="s"/>
      <c r="P41" s="90" t="s"/>
      <c r="Q41" s="90" t="s"/>
      <c r="R41" s="90" t="s"/>
      <c r="S41" s="90" t="s"/>
      <c r="T41" s="90" t="s"/>
      <c r="U41" s="90" t="s"/>
      <c r="V41" s="90" t="s"/>
      <c r="W41" s="90" t="s"/>
      <c r="X41" s="90" t="s"/>
      <c r="Y41" s="90" t="s"/>
      <c r="Z41" s="90" t="s"/>
      <c r="AA41" s="90" t="s"/>
    </row>
    <row r="42" spans="2:27">
      <c r="B42" t="s">
        <v>49</v>
      </c>
      <c r="C42" s="90" t="s"/>
      <c r="D42" s="90" t="s"/>
      <c r="E42" s="90" t="s"/>
      <c r="F42" s="154" t="s"/>
      <c r="G42" s="90" t="s"/>
      <c r="H42" s="90" t="s"/>
      <c r="I42" s="90" t="s"/>
      <c r="J42" s="90" t="s"/>
      <c r="K42" s="90" t="s"/>
      <c r="L42" s="90" t="s"/>
      <c r="M42" s="90" t="s"/>
      <c r="N42" s="90" t="s"/>
      <c r="O42" s="90" t="s"/>
      <c r="P42" s="90" t="s"/>
      <c r="Q42" s="90" t="s"/>
      <c r="R42" s="90" t="s"/>
      <c r="S42" s="90" t="s"/>
      <c r="T42" s="90" t="s"/>
      <c r="U42" s="90" t="s"/>
      <c r="V42" s="90" t="s"/>
      <c r="W42" s="90" t="s"/>
      <c r="X42" s="90" t="s"/>
      <c r="Y42" s="90" t="s"/>
      <c r="Z42" s="90" t="s"/>
      <c r="AA42" s="90" t="s"/>
    </row>
    <row r="43" spans="3:27">
      <c r="C43" s="90" t="s"/>
      <c r="D43" s="90" t="s"/>
      <c r="E43" s="90" t="s"/>
      <c r="F43" s="154" t="s"/>
      <c r="G43" s="90" t="s"/>
      <c r="H43" s="90" t="s"/>
      <c r="I43" s="90" t="s"/>
      <c r="J43" s="90" t="s"/>
      <c r="K43" s="90" t="s"/>
      <c r="L43" s="90" t="s"/>
      <c r="M43" s="90" t="s"/>
      <c r="N43" s="90" t="s"/>
      <c r="O43" s="90" t="s"/>
      <c r="P43" s="90" t="s"/>
      <c r="Q43" s="90" t="s"/>
      <c r="R43" s="90" t="s"/>
      <c r="S43" s="90" t="s"/>
      <c r="T43" s="90" t="s"/>
      <c r="U43" s="90" t="s"/>
      <c r="V43" s="90" t="s"/>
      <c r="W43" s="90" t="s"/>
      <c r="X43" s="90" t="s"/>
      <c r="Y43" s="90" t="s"/>
      <c r="Z43" s="90" t="s"/>
      <c r="AA43" s="90" t="s"/>
    </row>
    <row r="44" spans="2:27">
      <c r="B44" t="s">
        <v>50</v>
      </c>
      <c r="C44" s="90" t="s"/>
      <c r="D44" s="90" t="s"/>
      <c r="E44" s="90" t="s"/>
      <c r="F44" s="154" t="s"/>
      <c r="G44" s="90" t="s"/>
      <c r="H44" s="90" t="s"/>
      <c r="I44" s="90" t="s"/>
      <c r="J44" s="90" t="s"/>
      <c r="K44" s="90" t="s"/>
      <c r="L44" s="90" t="s"/>
      <c r="M44" s="90" t="s"/>
      <c r="N44" s="90" t="s"/>
      <c r="O44" s="90" t="s"/>
      <c r="P44" s="90" t="s"/>
      <c r="Q44" s="90" t="s"/>
      <c r="R44" s="90" t="s"/>
      <c r="S44" s="90" t="s"/>
      <c r="T44" s="90" t="s"/>
      <c r="U44" s="90" t="s"/>
      <c r="V44" s="90" t="s"/>
      <c r="W44" s="90" t="s"/>
      <c r="X44" s="90" t="s"/>
      <c r="Y44" s="90" t="s"/>
      <c r="Z44" s="90" t="s"/>
      <c r="AA44" s="90" t="s"/>
    </row>
    <row r="45" spans="2:27">
      <c r="B45" t="s">
        <v>51</v>
      </c>
      <c r="C45" s="90" t="s"/>
      <c r="D45" s="90" t="s"/>
      <c r="E45" s="90" t="s"/>
      <c r="F45" s="154" t="s"/>
      <c r="G45" s="90" t="s"/>
      <c r="H45" s="90" t="s"/>
      <c r="I45" s="90" t="s"/>
      <c r="J45" s="90" t="s"/>
      <c r="K45" s="90" t="s"/>
      <c r="L45" s="90" t="s"/>
      <c r="M45" s="90" t="s"/>
      <c r="N45" s="90" t="s"/>
      <c r="O45" s="90" t="s"/>
      <c r="P45" s="90" t="s"/>
      <c r="Q45" s="90" t="s"/>
      <c r="R45" s="90" t="s"/>
      <c r="S45" s="90" t="s"/>
      <c r="T45" s="90" t="s"/>
      <c r="U45" s="90" t="s"/>
      <c r="V45" s="90" t="s"/>
      <c r="W45" s="90" t="s"/>
      <c r="X45" s="90" t="s"/>
      <c r="Y45" s="90" t="s"/>
      <c r="Z45" s="90" t="s"/>
      <c r="AA45" s="90" t="s"/>
    </row>
  </sheetData>
  <mergeCells count="41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1:AA1"/>
    <mergeCell ref="Y2:Z2"/>
    <mergeCell ref="AA2:AB2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B18:B19"/>
    <mergeCell ref="R18:R19"/>
    <mergeCell ref="S18:S19"/>
    <mergeCell ref="T18:T19"/>
    <mergeCell ref="U18:U19"/>
    <mergeCell ref="V18:V19"/>
    <mergeCell ref="W18:W19"/>
    <mergeCell ref="Y18:Y19"/>
    <mergeCell ref="Z18:Z19"/>
    <mergeCell ref="X18:X19"/>
    <mergeCell ref="AA18:AA19"/>
    <mergeCell ref="AB18:AB19"/>
  </mergeCells>
  <hyperlinks>
    <hyperlink ref="B6" r:id="rId3"/>
    <hyperlink ref="B7" r:id="rId4"/>
    <hyperlink ref="B8" r:id="rId5"/>
    <hyperlink ref="B9" r:id="rId6"/>
    <hyperlink ref="B10" r:id="rId7"/>
    <hyperlink ref="B13" r:id="rId8"/>
    <hyperlink ref="B14" r:id="rId9"/>
    <hyperlink ref="B17" r:id="rId10"/>
    <hyperlink ref="B18" r:id="rId11"/>
  </hyperlinks>
  <legacy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true"/>
  </sheetPr>
  <dimension ref="P62"/>
  <sheetViews>
    <sheetView showGridLines="true" tabSelected="false" workbookViewId="0">
      <pane ySplit="2" topLeftCell="A3" state="frozen"/>
    </sheetView>
  </sheetViews>
  <sheetFormatPr defaultColWidth="8.875" defaultRowHeight="15"/>
  <cols>
    <col min="1" max="1" width="12.875" customWidth="true"/>
    <col min="2" max="2" width="31.125" customWidth="true"/>
    <col min="3" max="3" width="15.625" style="86" customWidth="true"/>
    <col min="4" max="4" width="15.125" style="86" customWidth="true"/>
    <col min="5" max="5" width="14.5" style="86" customWidth="true"/>
    <col min="6" max="6" width="15.125" style="86" customWidth="true"/>
    <col min="7" max="8" width="14.125" style="86" customWidth="true"/>
    <col min="9" max="9" width="13.5" style="86" customWidth="true"/>
    <col min="10" max="10" width="13.875" style="86" customWidth="true"/>
    <col min="11" max="11" width="14.625" style="86" customWidth="true"/>
    <col min="12" max="12" width="14.875" style="86" customWidth="true"/>
    <col min="13" max="14" width="14.125" style="86" customWidth="true"/>
    <col min="15" max="15" width="16.625" style="86" customWidth="true"/>
    <col min="16" max="16" width="23.5" customWidth="true"/>
  </cols>
  <sheetData>
    <row r="1" spans="1:15" ht="18.95">
      <c r="A1" s="81" t="s">
        <v>40</v>
      </c>
      <c r="B1" s="81" t="s"/>
      <c r="C1" s="81" t="s"/>
      <c r="D1" s="81" t="s"/>
      <c r="E1" s="81" t="s"/>
      <c r="F1" s="81" t="s"/>
      <c r="G1" s="81" t="s"/>
      <c r="H1" s="81" t="s"/>
      <c r="I1" s="81" t="s"/>
      <c r="J1" s="81" t="s"/>
      <c r="K1" s="81" t="s"/>
      <c r="L1" s="81" t="s"/>
      <c r="M1" s="81" t="s"/>
      <c r="N1" s="81" t="s"/>
      <c r="O1" s="81" t="s"/>
    </row>
    <row r="2" spans="3:15">
      <c r="C2" s="82">
        <v>45108</v>
      </c>
      <c r="D2" s="82">
        <v>45139</v>
      </c>
      <c r="E2" s="82">
        <v>45170</v>
      </c>
      <c r="F2" s="82">
        <v>45200</v>
      </c>
      <c r="G2" s="82">
        <v>45231</v>
      </c>
      <c r="H2" s="82">
        <v>45261</v>
      </c>
      <c r="I2" s="82">
        <v>45292</v>
      </c>
      <c r="J2" s="82">
        <v>45323</v>
      </c>
      <c r="K2" s="82">
        <v>45352</v>
      </c>
      <c r="L2" s="82">
        <v>45383</v>
      </c>
      <c r="M2" s="82">
        <v>45413</v>
      </c>
      <c r="N2" s="82">
        <v>45444</v>
      </c>
      <c r="O2" s="83" t="s">
        <v>14</v>
      </c>
    </row>
    <row r="3" spans="1:15">
      <c r="A3" s="84" t="s">
        <v>15</v>
      </c>
      <c r="B3" s="84" t="s"/>
      <c r="C3" s="85">
        <v>150000</v>
      </c>
      <c r="D3" s="85">
        <f>=C35</f>
        <v>206539.224886364</v>
      </c>
      <c r="E3" s="85">
        <f>=D35</f>
        <v>217569.009954546</v>
      </c>
      <c r="F3" s="85">
        <f>=E35</f>
        <v>235986.976840909</v>
      </c>
      <c r="G3" s="85">
        <f>=F35</f>
        <v>298292.839181818</v>
      </c>
      <c r="H3" s="85">
        <f>=G35</f>
        <v>374199.987886364</v>
      </c>
      <c r="I3" s="85">
        <f>=H35</f>
        <v>391624.382045455</v>
      </c>
      <c r="J3" s="85">
        <f>=I35</f>
        <v>454588.962568182</v>
      </c>
      <c r="K3" s="85">
        <f>=J35</f>
        <v>493882.384</v>
      </c>
      <c r="L3" s="85">
        <f>=K35</f>
        <v>542012.332704546</v>
      </c>
      <c r="M3" s="85">
        <f>=L35</f>
        <v>604381.913227273</v>
      </c>
      <c r="N3" s="85">
        <f>=M35</f>
        <v>622586.252840909</v>
      </c>
      <c r="O3" s="86" t="s"/>
    </row>
    <row r="4" spans="1:15">
      <c r="A4" t="s">
        <v>16</v>
      </c>
      <c r="C4" s="86" t="s"/>
      <c r="D4" s="86" t="s"/>
      <c r="E4" s="86" t="s"/>
      <c r="F4" s="86" t="s"/>
      <c r="G4" s="86" t="s"/>
      <c r="H4" s="86" t="s"/>
      <c r="I4" s="86" t="s"/>
      <c r="J4" s="86" t="s"/>
      <c r="K4" s="86" t="s"/>
      <c r="L4" s="86" t="s"/>
      <c r="M4" s="86" t="s"/>
      <c r="N4" s="86" t="s"/>
      <c r="O4" s="86" t="s"/>
    </row>
    <row r="5" spans="1:15">
      <c r="A5" t="s">
        <v>30</v>
      </c>
      <c r="C5" s="86" t="s"/>
      <c r="D5" s="86" t="s"/>
      <c r="E5" s="86" t="s"/>
      <c r="F5" s="86" t="s"/>
      <c r="G5" s="86" t="s"/>
      <c r="H5" s="86" t="s"/>
      <c r="I5" s="86" t="s"/>
      <c r="J5" s="86" t="s"/>
      <c r="K5" s="86" t="s"/>
      <c r="L5" s="86" t="s"/>
      <c r="M5" s="86" t="s"/>
      <c r="N5" s="86" t="s"/>
      <c r="O5" s="86" t="s"/>
    </row>
    <row r="6" spans="1:16">
      <c r="A6" s="157" t="s">
        <v>19</v>
      </c>
      <c r="B6" s="158" t="s">
        <v>73</v>
      </c>
      <c r="C6" s="86">
        <v>10503.75</v>
      </c>
      <c r="D6" s="86">
        <v>10473.57</v>
      </c>
      <c r="E6" s="86">
        <v>10110.57</v>
      </c>
      <c r="F6" s="86">
        <v>9647.63</v>
      </c>
      <c r="G6" s="86">
        <v>29549.77</v>
      </c>
      <c r="H6" s="86">
        <v>9320.14</v>
      </c>
      <c r="I6" s="86">
        <v>9767.22</v>
      </c>
      <c r="J6" s="86">
        <v>35301.07</v>
      </c>
      <c r="K6" s="86">
        <v>9596.25</v>
      </c>
      <c r="L6" s="86">
        <v>9112.72</v>
      </c>
      <c r="M6" s="86">
        <v>11278.08</v>
      </c>
      <c r="N6" s="86">
        <v>11941.87</v>
      </c>
      <c r="O6" s="86">
        <f>=SUM(C6:N6)</f>
        <v>166602.64</v>
      </c>
      <c r="P6" t="s">
        <v>98</v>
      </c>
    </row>
    <row r="7" spans="1:15">
      <c r="A7" s="157" t="s">
        <v>19</v>
      </c>
      <c r="B7" s="158" t="s">
        <v>74</v>
      </c>
      <c r="D7" s="86" t="s"/>
      <c r="E7" s="86" t="s"/>
      <c r="F7" s="86" t="s"/>
      <c r="G7" s="86" t="s"/>
      <c r="H7" s="86" t="s"/>
      <c r="J7" s="86" t="s"/>
      <c r="K7" s="86" t="s"/>
      <c r="L7" s="86" t="s"/>
      <c r="M7" s="86" t="s"/>
      <c r="N7" s="86" t="s"/>
      <c r="O7" s="86">
        <f>=SUM(D7:N7)</f>
        <v>0</v>
      </c>
    </row>
    <row r="8" spans="1:15">
      <c r="A8" s="158" t="s">
        <v>19</v>
      </c>
      <c r="B8" s="158" t="s">
        <v>75</v>
      </c>
      <c r="C8" s="86">
        <f>=180535/4*1.1</f>
        <v>49647.125</v>
      </c>
      <c r="D8" s="86" t="s"/>
      <c r="E8" s="86" t="s"/>
      <c r="F8" s="86">
        <f>=180535/4*1.1</f>
        <v>49647.125</v>
      </c>
      <c r="G8" s="86" t="s"/>
      <c r="H8" s="86" t="s"/>
      <c r="I8" s="86">
        <f>=180535/4*1.1</f>
        <v>49647.125</v>
      </c>
      <c r="J8" s="86" t="s"/>
      <c r="K8" s="86" t="s"/>
      <c r="L8" s="86">
        <f>=180535/4*1.1</f>
        <v>49647.125</v>
      </c>
      <c r="M8" s="86" t="s"/>
      <c r="N8" s="86" t="s"/>
      <c r="O8" s="86">
        <f>=SUM(C8:N8)</f>
        <v>198588.5</v>
      </c>
    </row>
    <row r="9" spans="1:15">
      <c r="A9" s="157" t="s">
        <v>19</v>
      </c>
      <c r="B9" s="157" t="s">
        <v>76</v>
      </c>
      <c r="D9" s="86" t="s"/>
      <c r="E9" s="86">
        <f>=10000/2*1.1</f>
        <v>5500</v>
      </c>
      <c r="F9" s="86" t="s"/>
      <c r="G9" s="86" t="s"/>
      <c r="H9" s="86" t="s"/>
      <c r="J9" s="86" t="s"/>
      <c r="K9" s="86">
        <f>=10000/2*1.1</f>
        <v>5500</v>
      </c>
      <c r="L9" s="86" t="s"/>
      <c r="M9" s="86" t="s"/>
      <c r="N9" s="86" t="s"/>
      <c r="O9" s="86">
        <f>=SUM(D9:N9)</f>
        <v>11000</v>
      </c>
    </row>
    <row r="10" spans="1:15">
      <c r="A10" s="157" t="s">
        <v>19</v>
      </c>
      <c r="B10" s="157" t="s">
        <v>122</v>
      </c>
      <c r="D10" s="86" t="s"/>
      <c r="E10" s="86" t="s"/>
      <c r="F10" s="86" t="s"/>
      <c r="G10" s="86">
        <v>44321.4</v>
      </c>
      <c r="H10" s="86" t="s"/>
      <c r="J10" s="86" t="s"/>
      <c r="K10" s="86" t="s"/>
      <c r="L10" s="86" t="s"/>
      <c r="M10" s="86" t="s"/>
      <c r="N10" s="86" t="s"/>
      <c r="O10" s="86">
        <f>=SUM(D10:N10)</f>
        <v>44321.4</v>
      </c>
    </row>
    <row r="11" spans="3:16">
      <c r="C11" s="86" t="s"/>
      <c r="D11" s="86" t="s"/>
      <c r="E11" s="86" t="s"/>
      <c r="F11" s="86" t="s"/>
      <c r="G11" s="86" t="s"/>
      <c r="H11" s="86" t="s"/>
      <c r="I11" s="86" t="s"/>
      <c r="J11" s="86" t="s"/>
      <c r="K11" s="86" t="s"/>
      <c r="L11" s="86" t="s"/>
      <c r="M11" s="86" t="s"/>
      <c r="N11" s="86" t="s"/>
      <c r="O11" s="86" t="s"/>
      <c r="P11" s="86">
        <f>=SUM(O6:O10)</f>
        <v>420512.54</v>
      </c>
    </row>
    <row r="12" spans="1:15" ht="16.5" customHeight="true">
      <c r="A12" t="s">
        <v>41</v>
      </c>
      <c r="C12" s="86" t="s"/>
      <c r="D12" s="86" t="s"/>
      <c r="E12" s="86" t="s"/>
      <c r="F12" s="86" t="s"/>
      <c r="G12" s="86" t="s"/>
      <c r="H12" s="86" t="s"/>
      <c r="I12" s="86" t="s"/>
      <c r="J12" s="86" t="s"/>
      <c r="K12" s="86" t="s"/>
      <c r="L12" s="86" t="s"/>
      <c r="M12" s="86" t="s"/>
      <c r="N12" s="86" t="s"/>
      <c r="O12" s="86" t="s"/>
    </row>
    <row r="13" spans="1:15" ht="16.5" customHeight="true">
      <c r="A13" t="s">
        <v>19</v>
      </c>
      <c r="B13" s="158" t="s">
        <v>77</v>
      </c>
      <c r="C13" s="86" t="s"/>
      <c r="D13" s="86" t="s"/>
      <c r="E13" s="86" t="s"/>
      <c r="F13" s="86" t="s"/>
      <c r="G13" s="86" t="s"/>
      <c r="H13" s="86" t="s"/>
      <c r="I13" s="86" t="s"/>
      <c r="J13" s="86" t="s"/>
      <c r="K13" s="86">
        <v>28000</v>
      </c>
      <c r="L13" s="86" t="s"/>
      <c r="M13" s="86" t="s"/>
      <c r="N13" s="86" t="s"/>
      <c r="O13" s="86">
        <f>=SUM(D13:N13)</f>
        <v>28000</v>
      </c>
    </row>
    <row r="14" spans="1:15" ht="14.25" customHeight="true">
      <c r="A14" s="157" t="s">
        <v>19</v>
      </c>
      <c r="B14" s="157" t="s">
        <v>78</v>
      </c>
      <c r="C14" s="86" t="s"/>
      <c r="D14" s="86">
        <v>2824.4</v>
      </c>
      <c r="E14" s="86">
        <v>2824.4</v>
      </c>
      <c r="F14" s="86">
        <v>2824.4</v>
      </c>
      <c r="G14" s="86">
        <v>2824.4</v>
      </c>
      <c r="H14" s="86">
        <v>2824.4</v>
      </c>
      <c r="I14" s="86">
        <v>2824.4</v>
      </c>
      <c r="J14" s="86">
        <v>2824.4</v>
      </c>
      <c r="K14" s="86">
        <v>2824.4</v>
      </c>
      <c r="L14" s="86">
        <v>2824.4</v>
      </c>
      <c r="M14" s="86">
        <v>2824.4</v>
      </c>
      <c r="N14" s="86">
        <v>2824.4</v>
      </c>
      <c r="O14" s="86">
        <f>=SUM(D14:N14)</f>
        <v>31068.4</v>
      </c>
    </row>
    <row r="15" spans="3:15">
      <c r="C15" s="86" t="s"/>
      <c r="D15" s="86" t="s"/>
      <c r="E15" s="86" t="s"/>
      <c r="F15" s="86" t="s"/>
      <c r="G15" s="86" t="s"/>
      <c r="H15" s="86" t="s"/>
      <c r="I15" s="86" t="s"/>
      <c r="J15" s="86" t="s"/>
      <c r="K15" s="86" t="s"/>
      <c r="L15" s="86" t="s"/>
      <c r="M15" s="86" t="s"/>
      <c r="N15" s="86" t="s"/>
      <c r="O15" s="86" t="s"/>
    </row>
    <row r="16" spans="1:15">
      <c r="A16" t="s">
        <v>42</v>
      </c>
      <c r="C16" s="86" t="s"/>
      <c r="D16" s="86" t="s"/>
      <c r="E16" s="86" t="s"/>
      <c r="F16" s="86" t="s"/>
      <c r="G16" s="86" t="s"/>
      <c r="H16" s="86" t="s"/>
      <c r="I16" s="86" t="s"/>
      <c r="J16" s="86" t="s"/>
      <c r="K16" s="86" t="s"/>
      <c r="L16" s="86" t="s"/>
      <c r="M16" s="86" t="s"/>
      <c r="N16" s="86" t="s"/>
      <c r="O16" s="86" t="s"/>
    </row>
    <row r="17" spans="1:15">
      <c r="A17" s="157" t="s">
        <v>19</v>
      </c>
      <c r="B17" s="157" t="s">
        <v>79</v>
      </c>
      <c r="C17" s="86">
        <f>=1975.25*1.1</f>
        <v>2172.775</v>
      </c>
      <c r="D17" s="86">
        <f>=1975.25*1.1</f>
        <v>2172.775</v>
      </c>
      <c r="E17" s="86">
        <f>=1975.25*1.1</f>
        <v>2172.775</v>
      </c>
      <c r="F17" s="86">
        <f>=1975.25*1.1</f>
        <v>2172.775</v>
      </c>
      <c r="G17" s="86">
        <f>=1975.25*1.1</f>
        <v>2172.775</v>
      </c>
      <c r="H17" s="86">
        <f>=1975.25*1.1</f>
        <v>2172.775</v>
      </c>
      <c r="I17" s="86">
        <f>=1975.25*1.1</f>
        <v>2172.775</v>
      </c>
      <c r="J17" s="86">
        <f>=1975.25*1.1</f>
        <v>2172.775</v>
      </c>
      <c r="K17" s="86">
        <f>=1975.25*1.1</f>
        <v>2172.775</v>
      </c>
      <c r="L17" s="86">
        <f>=1975.25*1.1</f>
        <v>2172.775</v>
      </c>
      <c r="M17" s="86">
        <f>=1975.25*1.1</f>
        <v>2172.775</v>
      </c>
      <c r="N17" s="86">
        <f>=1975.25*1.1</f>
        <v>2172.775</v>
      </c>
      <c r="O17" s="86">
        <f>=SUM(C17:N17)</f>
        <v>26073.3</v>
      </c>
    </row>
    <row r="18" spans="1:16">
      <c r="A18" s="157" t="s">
        <v>19</v>
      </c>
      <c r="B18" s="157" t="s">
        <v>80</v>
      </c>
      <c r="C18" s="86" t="s"/>
      <c r="D18" s="86" t="s"/>
      <c r="E18" s="86" t="s"/>
      <c r="F18" s="86">
        <v>5500</v>
      </c>
      <c r="G18" s="86">
        <v>5500</v>
      </c>
      <c r="H18" s="86">
        <v>5500</v>
      </c>
      <c r="I18" s="86">
        <v>5500</v>
      </c>
      <c r="J18" s="86">
        <v>5500</v>
      </c>
      <c r="K18" s="86">
        <v>5500</v>
      </c>
      <c r="L18" s="86">
        <v>5500</v>
      </c>
      <c r="M18" s="86">
        <v>5500</v>
      </c>
      <c r="N18" s="86">
        <v>5500</v>
      </c>
      <c r="O18" s="86">
        <f>=SUM(C18:N18)</f>
        <v>49500</v>
      </c>
      <c r="P18">
        <f>=SUM(O17:O18)</f>
        <v>75573.3</v>
      </c>
    </row>
    <row r="19" spans="3:15">
      <c r="C19" s="86" t="s"/>
      <c r="D19" s="86" t="s"/>
      <c r="E19" s="86" t="s"/>
      <c r="F19" s="86" t="s"/>
      <c r="G19" s="86" t="s"/>
      <c r="H19" s="86" t="s"/>
      <c r="I19" s="86" t="s"/>
      <c r="J19" s="86" t="s"/>
      <c r="K19" s="86" t="s"/>
      <c r="L19" s="86" t="s"/>
      <c r="M19" s="86" t="s"/>
      <c r="N19" s="86" t="s"/>
      <c r="O19" s="86" t="s"/>
    </row>
    <row r="20" spans="3:15">
      <c r="C20" s="90" t="s"/>
      <c r="D20" s="90" t="s"/>
      <c r="E20" s="90" t="s"/>
      <c r="F20" s="90" t="s"/>
      <c r="G20" s="90" t="s"/>
      <c r="H20" s="90" t="s"/>
      <c r="I20" s="90" t="s"/>
      <c r="J20" s="90" t="s"/>
      <c r="K20" s="90" t="s"/>
      <c r="L20" s="90" t="s"/>
      <c r="M20" s="90" t="s"/>
      <c r="N20" s="90" t="s"/>
      <c r="O20" s="90" t="s"/>
    </row>
    <row r="21" spans="3:15">
      <c r="C21" s="86" t="s"/>
      <c r="D21" s="86" t="s"/>
      <c r="E21" s="86" t="s"/>
      <c r="F21" s="86" t="s"/>
      <c r="G21" s="86" t="s"/>
      <c r="H21" s="86" t="s"/>
      <c r="I21" s="86" t="s"/>
      <c r="J21" s="86" t="s"/>
      <c r="K21" s="86" t="s"/>
      <c r="L21" s="86" t="s"/>
      <c r="M21" s="86" t="s"/>
      <c r="N21" s="86" t="s"/>
      <c r="O21" s="86" t="s"/>
    </row>
    <row r="22" spans="1:15">
      <c r="A22" s="84" t="s">
        <v>20</v>
      </c>
      <c r="B22" s="94" t="s"/>
      <c r="C22" s="85">
        <f>=SUM(C6:C21)</f>
        <v>62323.65</v>
      </c>
      <c r="D22" s="85">
        <f>=SUM(D6:D21)</f>
        <v>15470.745</v>
      </c>
      <c r="E22" s="85">
        <f>=SUM(E6:E21)</f>
        <v>20607.745</v>
      </c>
      <c r="F22" s="85">
        <f>=SUM(F6:F21)</f>
        <v>69791.93</v>
      </c>
      <c r="G22" s="85">
        <f>=SUM(G6:G21)</f>
        <v>84368.345</v>
      </c>
      <c r="H22" s="85">
        <f>=SUM(H6:H21)</f>
        <v>19817.315</v>
      </c>
      <c r="I22" s="85">
        <f>=SUM(I6:I21)</f>
        <v>69911.52</v>
      </c>
      <c r="J22" s="85">
        <f>=SUM(J6:J21)</f>
        <v>45798.245</v>
      </c>
      <c r="K22" s="85">
        <f>=SUM(K6:K21)</f>
        <v>53593.425</v>
      </c>
      <c r="L22" s="85">
        <f>=SUM(L6:L21)</f>
        <v>69257.02</v>
      </c>
      <c r="M22" s="85">
        <f>=SUM(M6:M21)</f>
        <v>21775.255</v>
      </c>
      <c r="N22" s="85">
        <f>=SUM(N6:N21)</f>
        <v>22439.045</v>
      </c>
      <c r="O22" s="95">
        <f>=SUM(C22:N22)</f>
        <v>555154.24</v>
      </c>
    </row>
    <row r="23" spans="3:15">
      <c r="C23" s="86" t="s"/>
      <c r="D23" s="86" t="s"/>
      <c r="E23" s="86" t="s"/>
      <c r="F23" s="86" t="s"/>
      <c r="G23" s="86" t="s"/>
      <c r="H23" s="86" t="s"/>
      <c r="I23" s="86" t="s"/>
      <c r="J23" s="86" t="s"/>
      <c r="K23" s="86" t="s"/>
      <c r="L23" s="86" t="s"/>
      <c r="M23" s="86" t="s"/>
      <c r="N23" s="86" t="s"/>
      <c r="O23" s="86" t="s"/>
    </row>
    <row r="24" spans="1:15">
      <c r="A24" s="96" t="s">
        <v>21</v>
      </c>
      <c r="C24" s="86" t="s"/>
      <c r="D24" s="86" t="s"/>
      <c r="E24" s="86" t="s"/>
      <c r="F24" s="86" t="s"/>
      <c r="G24" s="86" t="s"/>
      <c r="H24" s="86" t="s"/>
      <c r="I24" s="86" t="s"/>
      <c r="J24" s="86" t="s"/>
      <c r="K24" s="86" t="s"/>
      <c r="L24" s="86" t="s"/>
      <c r="M24" s="86" t="s"/>
      <c r="N24" s="86" t="s"/>
      <c r="O24" s="86" t="s"/>
    </row>
    <row r="25" spans="1:15">
      <c r="A25" t="s">
        <v>39</v>
      </c>
      <c r="C25" s="86">
        <f>=C14*7.7%+(C17+C18+C19)*5.5%</f>
        <v>119.502625</v>
      </c>
      <c r="D25" s="86">
        <f>=D14*7.7%+(D17+D18+D19)*5.5%</f>
        <v>336.981425</v>
      </c>
      <c r="E25" s="86">
        <f>=E14*7.7%+(E17+E18+E19)*5.5%</f>
        <v>336.981425</v>
      </c>
      <c r="F25" s="86">
        <f>=F14*7.7%+(F17+F18+F19)*5.5%</f>
        <v>639.481425</v>
      </c>
      <c r="G25" s="86">
        <f>=G14*7.7%+(G17+G18+G19)*5.5%</f>
        <v>639.481425</v>
      </c>
      <c r="H25" s="86">
        <f>=H14*7.7%+(H17+H18+H19)*5.5%</f>
        <v>639.481425</v>
      </c>
      <c r="I25" s="86">
        <f>=I14*7.7%+(I17+I18+I19)*5.5%</f>
        <v>639.481425</v>
      </c>
      <c r="J25" s="86">
        <f>=J14*7.7%+(J17+J18+J19)*5.5%</f>
        <v>639.481425</v>
      </c>
      <c r="K25" s="86">
        <f>=K14*7.7%+(K17+K18+K19)*5.5%</f>
        <v>639.481425</v>
      </c>
      <c r="L25" s="86">
        <f>=L14*7.7%+(L17+L18+L19)*5.5%</f>
        <v>639.481425</v>
      </c>
      <c r="M25" s="86">
        <f>=M14*7.7%+(M17+M18+M19)*5.5%</f>
        <v>639.481425</v>
      </c>
      <c r="N25" s="86">
        <f>=N14*7.7%+(N17+N18+N19)*5.5%</f>
        <v>639.481425</v>
      </c>
      <c r="O25" s="86">
        <f>=SUM(C25:N25)</f>
        <v>6548.7983</v>
      </c>
    </row>
    <row r="26" spans="1:15">
      <c r="A26" t="s">
        <v>22</v>
      </c>
      <c r="C26" s="86">
        <v>10</v>
      </c>
      <c r="D26" s="86">
        <v>10</v>
      </c>
      <c r="E26" s="86">
        <v>10</v>
      </c>
      <c r="F26" s="86">
        <v>10</v>
      </c>
      <c r="G26" s="86">
        <v>10</v>
      </c>
      <c r="H26" s="86">
        <v>10</v>
      </c>
      <c r="I26" s="86">
        <v>10</v>
      </c>
      <c r="J26" s="86">
        <v>10</v>
      </c>
      <c r="K26" s="86">
        <v>10</v>
      </c>
      <c r="L26" s="86">
        <v>10</v>
      </c>
      <c r="M26" s="86">
        <v>10</v>
      </c>
      <c r="N26" s="86">
        <v>10</v>
      </c>
      <c r="O26" s="86">
        <f>=SUM(C26:N26)</f>
        <v>120</v>
      </c>
    </row>
    <row r="27" spans="1:15">
      <c r="A27" t="s">
        <v>23</v>
      </c>
      <c r="C27" s="86" t="s"/>
      <c r="D27" s="86">
        <f>=1540+1450</f>
        <v>2990</v>
      </c>
      <c r="E27" s="86" t="s"/>
      <c r="F27" s="86">
        <v>605</v>
      </c>
      <c r="G27" s="86">
        <v>220</v>
      </c>
      <c r="H27" s="86" t="s"/>
      <c r="I27" s="86" t="s"/>
      <c r="J27" s="86">
        <f>=1100+825</f>
        <v>1925</v>
      </c>
      <c r="K27" s="86" t="s"/>
      <c r="L27" s="86" t="s"/>
      <c r="M27" s="86">
        <v>1100</v>
      </c>
      <c r="N27" s="86">
        <v>880</v>
      </c>
      <c r="O27" s="86">
        <f>=SUM(C27:N27)</f>
        <v>7720</v>
      </c>
    </row>
    <row r="28" spans="1:15">
      <c r="A28" t="s">
        <v>24</v>
      </c>
      <c r="C28" s="86" t="s"/>
      <c r="D28" s="86" t="s"/>
      <c r="E28" s="86" t="s"/>
      <c r="F28" s="86" t="s"/>
      <c r="G28" s="86" t="s"/>
      <c r="H28" s="86" t="s"/>
      <c r="I28" s="86" t="s"/>
      <c r="J28" s="86" t="s"/>
      <c r="K28" s="86" t="s"/>
      <c r="L28" s="86" t="s"/>
      <c r="M28" s="86" t="s"/>
      <c r="N28" s="86" t="s"/>
      <c r="O28" s="86">
        <f>=SUM(C28:N28)</f>
        <v>0</v>
      </c>
    </row>
    <row r="29" spans="1:15">
      <c r="A29" t="s">
        <v>25</v>
      </c>
      <c r="C29" s="86" t="s"/>
      <c r="D29" s="86" t="s"/>
      <c r="E29" s="86" t="s"/>
      <c r="F29" s="86" t="s"/>
      <c r="G29" s="86" t="s"/>
      <c r="H29" s="86" t="s"/>
      <c r="I29" s="86" t="s"/>
      <c r="J29" s="86" t="s"/>
      <c r="K29" s="86" t="s"/>
      <c r="L29" s="86" t="s"/>
      <c r="M29" s="86" t="s"/>
      <c r="N29" s="86" t="s"/>
      <c r="O29" s="86">
        <f>=SUM(C29:N29)</f>
        <v>0</v>
      </c>
    </row>
    <row r="30" spans="3:15">
      <c r="C30" s="86" t="s"/>
      <c r="D30" s="86" t="s"/>
      <c r="E30" s="86" t="s"/>
      <c r="F30" s="86" t="s"/>
      <c r="G30" s="86" t="s"/>
      <c r="H30" s="86" t="s"/>
      <c r="I30" s="86" t="s"/>
      <c r="J30" s="86" t="s"/>
      <c r="K30" s="86" t="s"/>
      <c r="L30" s="86" t="s"/>
      <c r="M30" s="86" t="s"/>
      <c r="N30" s="86" t="s"/>
      <c r="O30" s="86" t="s"/>
    </row>
    <row r="31" spans="1:15">
      <c r="A31" s="84" t="s">
        <v>26</v>
      </c>
      <c r="B31" s="84" t="s"/>
      <c r="C31" s="85">
        <f>=C22/11-SUM(C25+C27+C28+C29)/11</f>
        <v>5654.92248863637</v>
      </c>
      <c r="D31" s="85">
        <f>=D22/11-SUM(D25+D27+D28+D29)/11</f>
        <v>1103.97850681818</v>
      </c>
      <c r="E31" s="85">
        <f>=E22/11-SUM(E25+E27+E28+E29)/11</f>
        <v>1842.79668863636</v>
      </c>
      <c r="F31" s="85">
        <f>=F22/11-SUM(F25+F27+F28+F29)/11</f>
        <v>6231.58623409091</v>
      </c>
      <c r="G31" s="85">
        <f>=G22/11-SUM(G25+G27+G28+G29)/11</f>
        <v>7591.71487045455</v>
      </c>
      <c r="H31" s="85">
        <f>=H22/11-SUM(H25+H27+H28+H29)/11</f>
        <v>1743.43941590909</v>
      </c>
      <c r="I31" s="85">
        <f>=I22/11-SUM(I25+I27+I28+I29)/11</f>
        <v>6297.45805227273</v>
      </c>
      <c r="J31" s="85">
        <f>=J22/11-SUM(J25+J27+J28+J29)/11</f>
        <v>3930.34214318182</v>
      </c>
      <c r="K31" s="85">
        <f>=K22/11-SUM(K25+K27+K28+K29)/11</f>
        <v>4813.99487045455</v>
      </c>
      <c r="L31" s="85">
        <f>=L22/11-SUM(L25+L27+L28+L29)/11</f>
        <v>6237.95805227273</v>
      </c>
      <c r="M31" s="85">
        <f>=M22/11-SUM(M25+M27+M28+M29)/11</f>
        <v>1821.43396136364</v>
      </c>
      <c r="N31" s="85">
        <f>=N22/11-SUM(N25+N27+N28+N29)/11</f>
        <v>1901.77850681818</v>
      </c>
      <c r="O31" s="86">
        <f>=SUM(C31:N31)</f>
        <v>49171.4037909091</v>
      </c>
    </row>
    <row r="32" spans="1:15">
      <c r="A32" s="84" t="s">
        <v>27</v>
      </c>
      <c r="B32" s="84" t="s"/>
      <c r="C32" s="85">
        <f>=SUM(C25:C31)</f>
        <v>5784.42511363637</v>
      </c>
      <c r="D32" s="85">
        <f>=SUM(D25:D31)</f>
        <v>4440.95993181818</v>
      </c>
      <c r="E32" s="85">
        <f>=SUM(E25:E31)</f>
        <v>2189.77811363636</v>
      </c>
      <c r="F32" s="85">
        <f>=SUM(F25:F31)</f>
        <v>7486.06765909091</v>
      </c>
      <c r="G32" s="85">
        <f>=SUM(G25:G31)</f>
        <v>8461.19629545455</v>
      </c>
      <c r="H32" s="85">
        <f>=SUM(H25:H31)</f>
        <v>2392.92084090909</v>
      </c>
      <c r="I32" s="85">
        <f>=SUM(I25:I31)</f>
        <v>6946.93947727273</v>
      </c>
      <c r="J32" s="85">
        <f>=SUM(J25:J31)</f>
        <v>6504.82356818182</v>
      </c>
      <c r="K32" s="85">
        <f>=SUM(K25:K31)</f>
        <v>5463.47629545455</v>
      </c>
      <c r="L32" s="85">
        <f>=SUM(L25:L31)</f>
        <v>6887.43947727273</v>
      </c>
      <c r="M32" s="85">
        <f>=SUM(M25:M31)</f>
        <v>3570.91538636364</v>
      </c>
      <c r="N32" s="85">
        <f>=SUM(N25:N31)</f>
        <v>3431.25993181818</v>
      </c>
      <c r="O32" s="95">
        <f>=SUM(C32:N32)</f>
        <v>63560.2020909091</v>
      </c>
    </row>
    <row r="33" spans="1:15">
      <c r="A33" s="96" t="s"/>
      <c r="C33" s="86" t="s"/>
      <c r="D33" s="86" t="s"/>
      <c r="E33" s="86" t="s"/>
      <c r="F33" s="86" t="s"/>
      <c r="G33" s="86" t="s"/>
      <c r="H33" s="86" t="s"/>
      <c r="I33" s="86" t="s"/>
      <c r="J33" s="86" t="s"/>
      <c r="K33" s="86" t="s"/>
      <c r="L33" s="86" t="s"/>
      <c r="M33" s="86" t="s"/>
      <c r="N33" s="86" t="s"/>
      <c r="O33" s="86" t="s"/>
    </row>
    <row r="34" spans="3:15">
      <c r="C34" s="86" t="s"/>
      <c r="D34" s="86" t="s"/>
      <c r="E34" s="86" t="s"/>
      <c r="F34" s="86" t="s"/>
      <c r="G34" s="86" t="s"/>
      <c r="H34" s="86" t="s"/>
      <c r="I34" s="86" t="s"/>
      <c r="J34" s="86" t="s"/>
      <c r="K34" s="86" t="s"/>
      <c r="L34" s="86" t="s"/>
      <c r="M34" s="86" t="s"/>
      <c r="N34" s="86" t="s"/>
      <c r="O34" s="86" t="s"/>
    </row>
    <row r="35" spans="1:15">
      <c r="A35" s="96" t="s">
        <v>28</v>
      </c>
      <c r="B35" s="96" t="s"/>
      <c r="C35" s="83">
        <f>=C3+C22-C32</f>
        <v>206539.224886364</v>
      </c>
      <c r="D35" s="83">
        <f>=D3+D22-D32</f>
        <v>217569.009954546</v>
      </c>
      <c r="E35" s="83">
        <f>=E3+E22-E32</f>
        <v>235986.976840909</v>
      </c>
      <c r="F35" s="83">
        <f>=F3+F22-F32</f>
        <v>298292.839181818</v>
      </c>
      <c r="G35" s="83">
        <f>=G3+G22-G32</f>
        <v>374199.987886364</v>
      </c>
      <c r="H35" s="83">
        <f>=H3+H22-H32</f>
        <v>391624.382045455</v>
      </c>
      <c r="I35" s="83">
        <f>=I3+I22-I32</f>
        <v>454588.962568182</v>
      </c>
      <c r="J35" s="83">
        <f>=J3+J22-J32</f>
        <v>493882.384</v>
      </c>
      <c r="K35" s="83">
        <f>=K3+K22-K32</f>
        <v>542012.332704546</v>
      </c>
      <c r="L35" s="83">
        <f>=L3+L22-L32</f>
        <v>604381.913227273</v>
      </c>
      <c r="M35" s="83">
        <f>=M3+M22-M32</f>
        <v>622586.252840909</v>
      </c>
      <c r="N35" s="98">
        <f>=N3+N22-N32</f>
        <v>641594.037909091</v>
      </c>
      <c r="O35" s="86" t="s"/>
    </row>
    <row r="37" spans="1:15">
      <c r="A37" t="s">
        <v>81</v>
      </c>
      <c r="B37" t="s">
        <v>52</v>
      </c>
      <c r="C37" s="159">
        <f>=(11975.25+1975.25)*1.1</f>
        <v>15345.55</v>
      </c>
      <c r="D37" s="159">
        <f>=1975.25*1.1</f>
        <v>2172.775</v>
      </c>
      <c r="E37" s="159">
        <f>=2086.2*1.1</f>
        <v>2294.82</v>
      </c>
      <c r="F37" s="160">
        <f>=2086.2*1.1</f>
        <v>2294.82</v>
      </c>
      <c r="G37" s="160">
        <f>=2086.2*1.1</f>
        <v>2294.82</v>
      </c>
      <c r="H37" s="88">
        <f>=7086.2*1.1</f>
        <v>7794.82</v>
      </c>
      <c r="I37" s="160">
        <f>=2086.2*1.1</f>
        <v>2294.82</v>
      </c>
      <c r="J37" s="160">
        <f>=2086.2*1.1</f>
        <v>2294.82</v>
      </c>
      <c r="K37" s="88">
        <f>=(10000+2086.2)*1.1</f>
        <v>13294.82</v>
      </c>
      <c r="L37" s="160">
        <f>=2086.2*1.1</f>
        <v>2294.82</v>
      </c>
      <c r="M37" s="88">
        <f>=(5000+2086.2)*1.1</f>
        <v>7794.82</v>
      </c>
      <c r="N37" s="88">
        <f>=(20200+2086.2)*1.1</f>
        <v>24514.82</v>
      </c>
      <c r="O37" s="88">
        <f>=SUM(C37:N37)</f>
        <v>84686.525</v>
      </c>
    </row>
    <row r="38" spans="2:15">
      <c r="B38" t="s">
        <v>41</v>
      </c>
      <c r="C38" s="86" t="s"/>
      <c r="D38" s="86" t="s"/>
      <c r="E38" s="86" t="s"/>
      <c r="F38" s="86" t="s"/>
      <c r="G38" s="161">
        <f>=11297.6</f>
        <v>11297.6</v>
      </c>
      <c r="H38" s="86">
        <f>=2824.4+2824.4</f>
        <v>5648.8</v>
      </c>
      <c r="I38" s="161">
        <f>=2567.64+256.76</f>
        <v>2824.4</v>
      </c>
      <c r="J38" s="86">
        <f>=2824.4+2824.4</f>
        <v>5648.8</v>
      </c>
      <c r="K38" s="162">
        <v>2824.4</v>
      </c>
      <c r="L38" s="88">
        <v>2824.4</v>
      </c>
      <c r="M38" s="88">
        <v>2824.4</v>
      </c>
      <c r="N38" s="88">
        <v>2824.4</v>
      </c>
      <c r="O38" s="160">
        <f>=SUM(C38:N38)</f>
        <v>36717.2</v>
      </c>
    </row>
    <row r="39" spans="2:15">
      <c r="B39" t="s">
        <v>55</v>
      </c>
      <c r="C39" s="86" t="s"/>
      <c r="D39" s="86" t="s"/>
      <c r="E39" s="86" t="s"/>
      <c r="F39" s="162">
        <f>=9191.43*1.1</f>
        <v>10110.573</v>
      </c>
      <c r="G39" s="163">
        <f>=8770.57*1.1+44200</f>
        <v>53847.627</v>
      </c>
      <c r="H39" s="86">
        <f>=26863.43*1.1</f>
        <v>29549.773</v>
      </c>
      <c r="I39" s="162">
        <f>=8472.85*1.1</f>
        <v>9320.135</v>
      </c>
      <c r="J39" s="162">
        <f>=8879.28*1.1</f>
        <v>9767.208</v>
      </c>
      <c r="K39" s="86" t="s"/>
      <c r="L39" s="162">
        <f>=(32091.88+8723.85)*1.1</f>
        <v>44897.303</v>
      </c>
      <c r="M39" s="160">
        <f>=3315.19*1.1</f>
        <v>3646.709</v>
      </c>
      <c r="N39" s="88">
        <f>=10252.8*1.1+137349.73+137251.73</f>
        <v>285879.54</v>
      </c>
      <c r="O39" s="160">
        <f>=SUM(C39:N39)</f>
        <v>447018.868</v>
      </c>
    </row>
    <row r="40" spans="15:15">
      <c r="O40" s="164">
        <f>=SUM(O37:O39)</f>
        <v>568422.593</v>
      </c>
    </row>
    <row r="41" spans="1:15" s="165">
      <c r="A41" s="165" t="s">
        <v>39</v>
      </c>
      <c r="C41" s="166">
        <f>=C30*7.7%+(C33+C34+C35)*5.5%</f>
        <v>11359.65736875</v>
      </c>
      <c r="D41" s="166">
        <f>=D30*7.7%+(D33+D34+D35)*5.5%</f>
        <v>11966.2955475</v>
      </c>
      <c r="E41" s="166">
        <f>=E30*7.7%+(E33+E34+E35)*5.5%</f>
        <v>12979.28372625</v>
      </c>
      <c r="F41" s="166">
        <f>=F30*7.7%+(F33+F34+F35)*5.5%</f>
        <v>16406.106155</v>
      </c>
      <c r="G41" s="166">
        <f>=G30*7.7%+(G33+G34+G35)*5.5%</f>
        <v>20580.99933375</v>
      </c>
      <c r="H41" s="166">
        <f>=H30*7.7%+(H33+H34+H35)*5.5%</f>
        <v>21539.3410125</v>
      </c>
      <c r="I41" s="166">
        <f>=I30*7.7%+(I33+I34+I35)*5.5%</f>
        <v>25002.39294125</v>
      </c>
      <c r="J41" s="166">
        <f>=J30*7.7%+(J33+J34+J35)*5.5%</f>
        <v>27163.53112</v>
      </c>
      <c r="K41" s="166">
        <f>=K30*7.7%+(K33+K34+K35)*5.5%</f>
        <v>29810.67829875</v>
      </c>
      <c r="L41" s="166">
        <f>=L30*7.7%+(L33+L34+L35)*5.5%</f>
        <v>33241.0052275</v>
      </c>
      <c r="M41" s="166">
        <f>=M30*7.7%+(M33+M34+M35)*5.5%</f>
        <v>34242.24390625</v>
      </c>
      <c r="N41" s="166">
        <f>=N30*7.7%+(N33+N34+N35)*5.5%</f>
        <v>35287.672085</v>
      </c>
      <c r="O41" s="166">
        <f>=SUM(C41:N41)</f>
        <v>279579.2067225</v>
      </c>
    </row>
    <row r="42" spans="1:15">
      <c r="A42" t="s">
        <v>22</v>
      </c>
      <c r="C42" s="86">
        <v>10</v>
      </c>
      <c r="D42" s="86">
        <v>10</v>
      </c>
      <c r="E42" s="86">
        <v>10</v>
      </c>
      <c r="F42" s="86">
        <v>10</v>
      </c>
      <c r="G42" s="86">
        <v>10</v>
      </c>
      <c r="H42" s="86">
        <v>10</v>
      </c>
      <c r="I42" s="86">
        <v>10</v>
      </c>
      <c r="J42" s="86">
        <v>10</v>
      </c>
      <c r="K42" s="86">
        <v>10</v>
      </c>
      <c r="L42" s="86">
        <v>10</v>
      </c>
      <c r="M42" s="86">
        <v>10</v>
      </c>
      <c r="N42" s="86">
        <v>10</v>
      </c>
      <c r="O42" s="86">
        <f>=SUM(C42:N42)</f>
        <v>120</v>
      </c>
    </row>
    <row r="43" spans="1:15">
      <c r="A43" t="s">
        <v>23</v>
      </c>
      <c r="C43" s="86" t="s"/>
      <c r="D43" s="86">
        <f>=1540+1450</f>
        <v>2990</v>
      </c>
      <c r="E43" s="86" t="s"/>
      <c r="F43" s="86">
        <v>605</v>
      </c>
      <c r="G43" s="86">
        <v>220</v>
      </c>
      <c r="H43" s="86" t="s"/>
      <c r="I43" s="86" t="s"/>
      <c r="J43" s="86">
        <f>=1100+825</f>
        <v>1925</v>
      </c>
      <c r="K43" s="86" t="s"/>
      <c r="L43" s="86" t="s"/>
      <c r="M43" s="86">
        <v>1100</v>
      </c>
      <c r="N43" s="86">
        <v>880</v>
      </c>
      <c r="O43" s="86">
        <f>=SUM(C43:N43)</f>
        <v>7720</v>
      </c>
    </row>
    <row r="44" spans="1:15">
      <c r="A44" t="s">
        <v>24</v>
      </c>
      <c r="C44" s="86" t="s"/>
      <c r="D44" s="86" t="s"/>
      <c r="E44" s="86" t="s"/>
      <c r="F44" s="86" t="s"/>
      <c r="G44" s="86" t="s"/>
      <c r="H44" s="86" t="s"/>
      <c r="I44" s="86" t="s"/>
      <c r="J44" s="86" t="s"/>
      <c r="K44" s="86" t="s"/>
      <c r="L44" s="86" t="s"/>
      <c r="M44" s="86" t="s"/>
      <c r="N44" s="86" t="s"/>
      <c r="O44" s="86">
        <f>=SUM(C44:N44)</f>
        <v>0</v>
      </c>
    </row>
    <row r="45" spans="1:15">
      <c r="A45" t="s">
        <v>25</v>
      </c>
      <c r="C45" s="86" t="s"/>
      <c r="D45" s="86" t="s"/>
      <c r="E45" s="86" t="s"/>
      <c r="F45" s="86" t="s"/>
      <c r="G45" s="86" t="s"/>
      <c r="H45" s="86" t="s"/>
      <c r="I45" s="86" t="s"/>
      <c r="J45" s="86" t="s"/>
      <c r="K45" s="86" t="s"/>
      <c r="L45" s="86" t="s"/>
      <c r="M45" s="86" t="s"/>
      <c r="N45" s="86" t="s"/>
      <c r="O45" s="86">
        <f>=SUM(C45:N45)</f>
        <v>0</v>
      </c>
    </row>
    <row r="48" spans="1:4">
      <c r="A48" s="167" t="s">
        <v>82</v>
      </c>
      <c r="B48" s="167" t="s">
        <v>57</v>
      </c>
      <c r="C48" s="168" t="s">
        <v>58</v>
      </c>
      <c r="D48" s="168" t="s">
        <v>59</v>
      </c>
    </row>
    <row r="49" spans="1:4">
      <c r="A49" t="s">
        <v>83</v>
      </c>
      <c r="B49" s="169">
        <v>10000</v>
      </c>
      <c r="C49" s="170">
        <v>10503.75</v>
      </c>
      <c r="D49" s="100" t="s">
        <v>123</v>
      </c>
    </row>
    <row r="50" spans="1:4">
      <c r="A50" t="s">
        <v>84</v>
      </c>
      <c r="B50" s="169">
        <v>10000</v>
      </c>
      <c r="C50" s="170">
        <v>10473.57</v>
      </c>
      <c r="D50" s="100" t="s">
        <v>124</v>
      </c>
    </row>
    <row r="51" spans="1:4">
      <c r="A51" t="s">
        <v>85</v>
      </c>
      <c r="B51" s="169">
        <v>10000</v>
      </c>
      <c r="C51" s="170">
        <v>10110.57</v>
      </c>
      <c r="D51" s="100" t="s">
        <v>125</v>
      </c>
    </row>
    <row r="52" spans="1:4">
      <c r="A52" t="s">
        <v>86</v>
      </c>
      <c r="B52" s="169">
        <v>10000</v>
      </c>
      <c r="C52" s="170">
        <v>9647.63</v>
      </c>
      <c r="D52" s="100" t="s">
        <v>126</v>
      </c>
    </row>
    <row r="53" spans="1:4">
      <c r="A53" t="s">
        <v>87</v>
      </c>
      <c r="B53" s="169">
        <v>10000</v>
      </c>
      <c r="C53" s="170">
        <v>29549.77</v>
      </c>
      <c r="D53" s="100" t="s">
        <v>127</v>
      </c>
    </row>
    <row r="54" spans="1:4">
      <c r="A54" t="s">
        <v>88</v>
      </c>
      <c r="B54" s="169">
        <v>10000</v>
      </c>
      <c r="C54" s="170">
        <v>9320.14</v>
      </c>
      <c r="D54" s="100" t="s">
        <v>128</v>
      </c>
    </row>
    <row r="55" spans="1:4">
      <c r="A55" t="s">
        <v>89</v>
      </c>
      <c r="B55" s="169">
        <v>10000</v>
      </c>
      <c r="C55" s="170">
        <v>9767.22</v>
      </c>
      <c r="D55" s="100" t="s">
        <v>129</v>
      </c>
    </row>
    <row r="56" spans="1:4">
      <c r="A56" t="s">
        <v>90</v>
      </c>
      <c r="B56" s="169">
        <v>10000</v>
      </c>
      <c r="C56" s="170">
        <v>35301.07</v>
      </c>
      <c r="D56" s="100" t="s">
        <v>130</v>
      </c>
    </row>
    <row r="57" spans="1:4">
      <c r="A57" t="s">
        <v>91</v>
      </c>
      <c r="B57" s="169">
        <v>10000</v>
      </c>
      <c r="C57" s="170">
        <v>9596.25</v>
      </c>
      <c r="D57" s="100" t="s">
        <v>131</v>
      </c>
    </row>
    <row r="58" spans="1:4">
      <c r="A58" t="s">
        <v>92</v>
      </c>
      <c r="B58" s="169">
        <v>10000</v>
      </c>
      <c r="C58" s="170">
        <v>9112.72</v>
      </c>
      <c r="D58" s="100" t="s">
        <v>132</v>
      </c>
    </row>
    <row r="59" spans="1:4">
      <c r="A59" t="s">
        <v>93</v>
      </c>
      <c r="B59" s="169">
        <v>10000</v>
      </c>
      <c r="C59" s="170">
        <v>11278.08</v>
      </c>
      <c r="D59" s="100" t="s">
        <v>133</v>
      </c>
    </row>
    <row r="60" spans="1:4">
      <c r="A60" t="s">
        <v>94</v>
      </c>
      <c r="B60" s="169">
        <v>10000</v>
      </c>
      <c r="C60" s="170">
        <v>11941.87</v>
      </c>
      <c r="D60" s="100" t="s">
        <v>134</v>
      </c>
    </row>
    <row r="62" spans="1:3">
      <c r="A62" s="171" t="s">
        <v>72</v>
      </c>
      <c r="B62" s="171">
        <f>=SUM(B49:B60)</f>
        <v>120000</v>
      </c>
      <c r="C62" s="172">
        <f>=SUM(C49:C60)</f>
        <v>166602.64</v>
      </c>
    </row>
  </sheetData>
  <mergeCells count="1">
    <mergeCell ref="A1:O1"/>
  </mergeCells>
  <hyperlinks>
    <hyperlink ref="A6" r:id="rId0"/>
    <hyperlink ref="B6" r:id="rId1"/>
    <hyperlink ref="P6" r:id="rId2"/>
    <hyperlink ref="A7" r:id="rId3"/>
    <hyperlink ref="B7" r:id="rId4"/>
    <hyperlink ref="A8" r:id="rId5"/>
    <hyperlink ref="B8" r:id="rId6"/>
    <hyperlink ref="A9" r:id="rId7"/>
    <hyperlink ref="B9" r:id="rId8"/>
    <hyperlink ref="A10" r:id="rId9"/>
    <hyperlink ref="B10" r:id="rId10"/>
    <hyperlink ref="B13" r:id="rId11"/>
    <hyperlink ref="A14" r:id="rId12"/>
    <hyperlink ref="B14" r:id="rId13"/>
    <hyperlink ref="A17" r:id="rId14"/>
    <hyperlink ref="B17" r:id="rId15"/>
    <hyperlink ref="A18" r:id="rId16"/>
    <hyperlink ref="B18" r:id="rId17"/>
    <hyperlink ref="D49" r:id="rId18"/>
    <hyperlink ref="D50" r:id="rId19"/>
    <hyperlink ref="D51" r:id="rId20"/>
    <hyperlink ref="D52" r:id="rId21"/>
    <hyperlink ref="D53" r:id="rId22"/>
    <hyperlink ref="D54" r:id="rId23"/>
    <hyperlink ref="D55" r:id="rId24"/>
    <hyperlink ref="D56" r:id="rId25"/>
    <hyperlink ref="D57" r:id="rId26"/>
    <hyperlink ref="D58" r:id="rId27"/>
    <hyperlink ref="D59" r:id="rId28"/>
    <hyperlink ref="D60" r:id="rId29"/>
  </hyperlinks>
</worksheet>
</file>

<file path=xl/worksheets/sheet5.xml><?xml version="1.0" encoding="utf-8"?>
<worksheet xmlns:r="http://schemas.openxmlformats.org/officeDocument/2006/relationships" xmlns="http://schemas.openxmlformats.org/spreadsheetml/2006/main">
  <sheetPr codeName="Harvest cash flow Budget 2024"/>
  <dimension ref="O37"/>
  <sheetViews>
    <sheetView showGridLines="true" topLeftCell="B1" workbookViewId="0"/>
  </sheetViews>
  <sheetFormatPr defaultColWidth="8.875" defaultRowHeight="15"/>
  <cols>
    <col min="1" max="1" width="16.125" bestFit="true" customWidth="true"/>
    <col min="2" max="2" width="41.625" bestFit="true" customWidth="true"/>
    <col min="3" max="3" width="14" customWidth="true"/>
    <col min="4" max="4" width="13.875" customWidth="true"/>
    <col min="5" max="5" width="15.625" customWidth="true"/>
    <col min="6" max="6" width="14.625" customWidth="true"/>
    <col min="7" max="7" width="17.125" customWidth="true"/>
    <col min="8" max="8" width="17" customWidth="true"/>
    <col min="9" max="9" width="15.625" customWidth="true"/>
    <col min="10" max="10" width="14.5" customWidth="true"/>
    <col min="11" max="11" width="13.875" customWidth="true"/>
    <col min="12" max="12" width="13.375" customWidth="true"/>
    <col min="13" max="13" width="15" customWidth="true"/>
    <col min="14" max="14" width="12.375" customWidth="true"/>
    <col min="15" max="15" width="12.375" bestFit="true" customWidth="true"/>
  </cols>
  <sheetData>
    <row r="1" spans="1:15">
      <c r="A1" s="24" t="s">
        <v>29</v>
      </c>
      <c r="B1" s="4" t="s"/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6" t="s">
        <v>14</v>
      </c>
    </row>
    <row r="2" spans="1:15">
      <c r="A2" s="7" t="s">
        <v>15</v>
      </c>
      <c r="B2" s="8" t="s"/>
      <c r="C2" s="9">
        <v>150000</v>
      </c>
      <c r="D2" s="9">
        <v>238363.72</v>
      </c>
      <c r="E2" s="9">
        <v>236838.57</v>
      </c>
      <c r="F2" s="9">
        <v>235313.42</v>
      </c>
      <c r="G2" s="9">
        <v>322877.14</v>
      </c>
      <c r="H2" s="9">
        <v>321351.99</v>
      </c>
      <c r="I2" s="9">
        <v>319826.84</v>
      </c>
      <c r="J2" s="9">
        <v>408190.56</v>
      </c>
      <c r="K2" s="9">
        <v>405865.41</v>
      </c>
      <c r="L2" s="9">
        <v>378885.71</v>
      </c>
      <c r="M2" s="9">
        <v>467249.44</v>
      </c>
      <c r="N2" s="9">
        <v>465724.29</v>
      </c>
      <c r="O2" s="10" t="s"/>
    </row>
    <row r="3" spans="1:15">
      <c r="A3" s="11" t="s">
        <v>16</v>
      </c>
      <c r="B3" s="12" t="s"/>
      <c r="C3" s="12" t="s"/>
      <c r="D3" s="12" t="s"/>
      <c r="E3" s="12" t="s"/>
      <c r="F3" s="12" t="s"/>
      <c r="G3" s="12" t="s"/>
      <c r="H3" s="12" t="s"/>
      <c r="I3" s="12" t="s"/>
      <c r="J3" s="12" t="s"/>
      <c r="K3" s="12" t="s"/>
      <c r="L3" s="12" t="s"/>
      <c r="M3" s="12" t="s"/>
      <c r="N3" s="12" t="s"/>
      <c r="O3" s="10" t="s"/>
    </row>
    <row r="4" spans="1:15">
      <c r="A4" s="11" t="s">
        <v>30</v>
      </c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/>
      <c r="L4" s="12" t="s"/>
      <c r="M4" s="12" t="s"/>
      <c r="N4" s="12" t="s"/>
      <c r="O4" s="10" t="s"/>
    </row>
    <row r="5" spans="1:15">
      <c r="A5" s="16" t="s">
        <v>19</v>
      </c>
      <c r="B5" s="13" t="s">
        <v>31</v>
      </c>
      <c r="C5" s="12" t="s"/>
      <c r="D5" s="12" t="s"/>
      <c r="E5" s="12" t="s"/>
      <c r="F5" s="12" t="s"/>
      <c r="G5" s="12" t="s"/>
      <c r="H5" s="12" t="s"/>
      <c r="I5" s="12" t="s"/>
      <c r="J5" s="12" t="s"/>
      <c r="K5" s="12" t="s"/>
      <c r="L5" s="12" t="s"/>
      <c r="M5" s="12" t="s"/>
      <c r="N5" s="17">
        <v>206231.62</v>
      </c>
      <c r="O5" s="15">
        <v>206231.62</v>
      </c>
    </row>
    <row r="6" spans="1:15">
      <c r="A6" s="16" t="s">
        <v>19</v>
      </c>
      <c r="B6" s="13" t="s">
        <v>32</v>
      </c>
      <c r="C6" s="17">
        <v>98877.77</v>
      </c>
      <c r="D6" s="12" t="s"/>
      <c r="E6" s="12" t="s"/>
      <c r="F6" s="17">
        <v>98877.77</v>
      </c>
      <c r="G6" s="12" t="s"/>
      <c r="H6" s="12" t="s"/>
      <c r="I6" s="17">
        <v>98877.77</v>
      </c>
      <c r="J6" s="12" t="s"/>
      <c r="K6" s="12" t="s"/>
      <c r="L6" s="17">
        <v>98877.77</v>
      </c>
      <c r="M6" s="12" t="s"/>
      <c r="N6" s="12" t="s"/>
      <c r="O6" s="15">
        <v>395511.05</v>
      </c>
    </row>
    <row r="7" spans="1:15">
      <c r="A7" s="11" t="s"/>
      <c r="B7" s="12" t="s"/>
      <c r="C7" s="12" t="s"/>
      <c r="D7" s="12" t="s"/>
      <c r="E7" s="12" t="s"/>
      <c r="F7" s="12" t="s"/>
      <c r="G7" s="12" t="s"/>
      <c r="H7" s="12" t="s"/>
      <c r="I7" s="12" t="s"/>
      <c r="J7" s="12" t="s"/>
      <c r="K7" s="12" t="s"/>
      <c r="L7" s="12" t="s"/>
      <c r="M7" s="12" t="s"/>
      <c r="N7" s="12" t="s"/>
      <c r="O7" s="10" t="s"/>
    </row>
    <row r="8" spans="1:15">
      <c r="A8" s="11" t="s"/>
      <c r="B8" s="12" t="s"/>
      <c r="C8" s="12" t="s"/>
      <c r="D8" s="12" t="s"/>
      <c r="E8" s="12" t="s"/>
      <c r="F8" s="12" t="s"/>
      <c r="G8" s="12" t="s"/>
      <c r="H8" s="12" t="s"/>
      <c r="I8" s="12" t="s"/>
      <c r="J8" s="12" t="s"/>
      <c r="K8" s="12" t="s"/>
      <c r="L8" s="12" t="s"/>
      <c r="M8" s="12" t="s"/>
      <c r="N8" s="12" t="s"/>
      <c r="O8" s="10" t="s"/>
    </row>
    <row r="9" spans="1:15">
      <c r="A9" s="11" t="s"/>
      <c r="B9" s="12" t="s"/>
      <c r="C9" s="12" t="s"/>
      <c r="D9" s="12" t="s"/>
      <c r="E9" s="12" t="s"/>
      <c r="F9" s="12" t="s"/>
      <c r="G9" s="12" t="s"/>
      <c r="H9" s="12" t="s"/>
      <c r="I9" s="12" t="s"/>
      <c r="J9" s="12" t="s"/>
      <c r="K9" s="12" t="s"/>
      <c r="L9" s="12" t="s"/>
      <c r="M9" s="12" t="s"/>
      <c r="N9" s="12" t="s"/>
      <c r="O9" s="10" t="s"/>
    </row>
    <row r="10" spans="1:15">
      <c r="A10" s="11" t="s"/>
      <c r="B10" s="12" t="s"/>
      <c r="C10" s="12" t="s"/>
      <c r="D10" s="12" t="s"/>
      <c r="E10" s="12" t="s"/>
      <c r="F10" s="12" t="s"/>
      <c r="G10" s="12" t="s"/>
      <c r="H10" s="12" t="s"/>
      <c r="I10" s="12" t="s"/>
      <c r="J10" s="12" t="s"/>
      <c r="K10" s="12" t="s"/>
      <c r="L10" s="12" t="s"/>
      <c r="M10" s="12" t="s"/>
      <c r="N10" s="12" t="s"/>
      <c r="O10" s="10" t="s"/>
    </row>
    <row r="11" spans="1:15">
      <c r="A11" s="11" t="s"/>
      <c r="B11" s="12" t="s"/>
      <c r="C11" s="12" t="s"/>
      <c r="D11" s="12" t="s"/>
      <c r="E11" s="12" t="s"/>
      <c r="F11" s="12" t="s"/>
      <c r="G11" s="12" t="s"/>
      <c r="H11" s="12" t="s"/>
      <c r="I11" s="12" t="s"/>
      <c r="J11" s="12" t="s"/>
      <c r="K11" s="12" t="s"/>
      <c r="L11" s="12" t="s"/>
      <c r="M11" s="12" t="s"/>
      <c r="N11" s="12" t="s"/>
      <c r="O11" s="10" t="s"/>
    </row>
    <row r="12" spans="1:15">
      <c r="A12" s="11" t="s"/>
      <c r="B12" s="12" t="s"/>
      <c r="C12" s="12" t="s"/>
      <c r="D12" s="12" t="s"/>
      <c r="E12" s="12" t="s"/>
      <c r="F12" s="12" t="s"/>
      <c r="G12" s="12" t="s"/>
      <c r="H12" s="12" t="s"/>
      <c r="I12" s="12" t="s"/>
      <c r="J12" s="12" t="s"/>
      <c r="K12" s="12" t="s"/>
      <c r="L12" s="12" t="s"/>
      <c r="M12" s="12" t="s"/>
      <c r="N12" s="12" t="s"/>
      <c r="O12" s="10" t="s"/>
    </row>
    <row r="13" spans="1:15">
      <c r="A13" s="11" t="s"/>
      <c r="B13" s="12" t="s"/>
      <c r="C13" s="12" t="s"/>
      <c r="D13" s="12" t="s"/>
      <c r="E13" s="12" t="s"/>
      <c r="F13" s="12" t="s"/>
      <c r="G13" s="12" t="s"/>
      <c r="H13" s="12" t="s"/>
      <c r="I13" s="12" t="s"/>
      <c r="J13" s="12" t="s"/>
      <c r="K13" s="12" t="s"/>
      <c r="L13" s="12" t="s"/>
      <c r="M13" s="12" t="s"/>
      <c r="N13" s="12" t="s"/>
      <c r="O13" s="10" t="s"/>
    </row>
    <row r="14" spans="1:15">
      <c r="A14" s="11" t="s"/>
      <c r="B14" s="12" t="s"/>
      <c r="C14" s="12" t="s"/>
      <c r="D14" s="12" t="s"/>
      <c r="E14" s="12" t="s"/>
      <c r="F14" s="12" t="s"/>
      <c r="G14" s="12" t="s"/>
      <c r="H14" s="12" t="s"/>
      <c r="I14" s="12" t="s"/>
      <c r="J14" s="12" t="s"/>
      <c r="K14" s="12" t="s"/>
      <c r="L14" s="12" t="s"/>
      <c r="M14" s="12" t="s"/>
      <c r="N14" s="12" t="s"/>
      <c r="O14" s="10" t="s"/>
    </row>
    <row r="15" spans="1:15">
      <c r="A15" s="11" t="s"/>
      <c r="B15" s="12" t="s"/>
      <c r="C15" s="12" t="s"/>
      <c r="D15" s="12" t="s"/>
      <c r="E15" s="12" t="s"/>
      <c r="F15" s="12" t="s"/>
      <c r="G15" s="12" t="s"/>
      <c r="H15" s="12" t="s"/>
      <c r="I15" s="12" t="s"/>
      <c r="J15" s="12" t="s"/>
      <c r="K15" s="12" t="s"/>
      <c r="L15" s="12" t="s"/>
      <c r="M15" s="12" t="s"/>
      <c r="N15" s="12" t="s"/>
      <c r="O15" s="10" t="s"/>
    </row>
    <row r="16" spans="1:15">
      <c r="A16" s="11" t="s"/>
      <c r="B16" s="12" t="s"/>
      <c r="C16" s="12" t="s"/>
      <c r="D16" s="12" t="s"/>
      <c r="E16" s="12" t="s"/>
      <c r="F16" s="12" t="s"/>
      <c r="G16" s="12" t="s"/>
      <c r="H16" s="12" t="s"/>
      <c r="I16" s="12" t="s"/>
      <c r="J16" s="12" t="s"/>
      <c r="K16" s="12" t="s"/>
      <c r="L16" s="12" t="s"/>
      <c r="M16" s="12" t="s"/>
      <c r="N16" s="12" t="s"/>
      <c r="O16" s="10" t="s"/>
    </row>
    <row r="17" spans="1:15">
      <c r="A17" s="7" t="s">
        <v>20</v>
      </c>
      <c r="B17" s="18" t="s"/>
      <c r="C17" s="9">
        <v>98877.76</v>
      </c>
      <c r="D17" s="8" t="s">
        <v>33</v>
      </c>
      <c r="E17" s="8" t="s">
        <v>33</v>
      </c>
      <c r="F17" s="9">
        <v>98877.76</v>
      </c>
      <c r="G17" s="8" t="s">
        <v>33</v>
      </c>
      <c r="H17" s="8" t="s">
        <v>33</v>
      </c>
      <c r="I17" s="9">
        <v>98877.76</v>
      </c>
      <c r="J17" s="8" t="s">
        <v>33</v>
      </c>
      <c r="K17" s="8" t="s">
        <v>33</v>
      </c>
      <c r="L17" s="9">
        <v>98877.76</v>
      </c>
      <c r="M17" s="8" t="s">
        <v>33</v>
      </c>
      <c r="N17" s="9">
        <v>206231.62</v>
      </c>
      <c r="O17" s="15">
        <v>601742.67</v>
      </c>
    </row>
    <row r="18" spans="1:15">
      <c r="A18" s="11" t="s"/>
      <c r="B18" s="12" t="s"/>
      <c r="C18" s="12" t="s"/>
      <c r="D18" s="12" t="s"/>
      <c r="E18" s="12" t="s"/>
      <c r="F18" s="12" t="s"/>
      <c r="G18" s="12" t="s"/>
      <c r="H18" s="12" t="s"/>
      <c r="I18" s="12" t="s"/>
      <c r="J18" s="12" t="s"/>
      <c r="K18" s="12" t="s"/>
      <c r="L18" s="12" t="s"/>
      <c r="M18" s="12" t="s"/>
      <c r="N18" s="12" t="s"/>
      <c r="O18" s="10" t="s"/>
    </row>
    <row r="19" spans="1:15">
      <c r="A19" s="19" t="s">
        <v>21</v>
      </c>
      <c r="B19" s="12" t="s"/>
      <c r="C19" s="12" t="s"/>
      <c r="D19" s="12" t="s"/>
      <c r="E19" s="12" t="s"/>
      <c r="F19" s="12" t="s"/>
      <c r="G19" s="12" t="s"/>
      <c r="H19" s="12" t="s"/>
      <c r="I19" s="12" t="s"/>
      <c r="J19" s="12" t="s"/>
      <c r="K19" s="12" t="s"/>
      <c r="L19" s="12" t="s"/>
      <c r="M19" s="12" t="s"/>
      <c r="N19" s="12" t="s"/>
      <c r="O19" s="10" t="s"/>
    </row>
    <row r="20" spans="1:15">
      <c r="A20" s="11" t="s"/>
      <c r="B20" s="12" t="s"/>
      <c r="C20" s="12" t="s"/>
      <c r="D20" s="12" t="s"/>
      <c r="E20" s="12" t="s"/>
      <c r="F20" s="12" t="s"/>
      <c r="G20" s="12" t="s"/>
      <c r="H20" s="12" t="s"/>
      <c r="I20" s="12" t="s"/>
      <c r="J20" s="12" t="s"/>
      <c r="K20" s="12" t="s"/>
      <c r="L20" s="12" t="s"/>
      <c r="M20" s="12" t="s"/>
      <c r="N20" s="12" t="s"/>
      <c r="O20" s="10" t="s"/>
    </row>
    <row r="21" spans="1:15">
      <c r="A21" s="11" t="s">
        <v>22</v>
      </c>
      <c r="B21" s="12" t="s"/>
      <c r="C21" s="17">
        <v>10</v>
      </c>
      <c r="D21" s="17">
        <v>10</v>
      </c>
      <c r="E21" s="17">
        <v>10</v>
      </c>
      <c r="F21" s="17">
        <v>10</v>
      </c>
      <c r="G21" s="17">
        <v>10</v>
      </c>
      <c r="H21" s="17">
        <v>10</v>
      </c>
      <c r="I21" s="17">
        <v>10</v>
      </c>
      <c r="J21" s="17">
        <v>10</v>
      </c>
      <c r="K21" s="17">
        <v>10</v>
      </c>
      <c r="L21" s="17">
        <v>10</v>
      </c>
      <c r="M21" s="17">
        <v>10</v>
      </c>
      <c r="N21" s="17">
        <v>10</v>
      </c>
      <c r="O21" s="15">
        <v>120</v>
      </c>
    </row>
    <row r="22" spans="1:15">
      <c r="A22" s="11" t="s">
        <v>23</v>
      </c>
      <c r="B22" s="12" t="s"/>
      <c r="C22" s="12" t="s"/>
      <c r="D22" s="12" t="s"/>
      <c r="E22" s="12" t="s"/>
      <c r="F22" s="17">
        <v>880</v>
      </c>
      <c r="G22" s="12" t="s"/>
      <c r="H22" s="12" t="s"/>
      <c r="I22" s="12" t="s"/>
      <c r="J22" s="17">
        <v>880</v>
      </c>
      <c r="K22" s="12" t="s"/>
      <c r="L22" s="12" t="s"/>
      <c r="M22" s="12" t="s"/>
      <c r="N22" s="17">
        <v>880</v>
      </c>
      <c r="O22" s="15">
        <v>2640</v>
      </c>
    </row>
    <row r="23" spans="1:15">
      <c r="A23" s="11" t="s">
        <v>24</v>
      </c>
      <c r="B23" s="12" t="s"/>
      <c r="C23" s="17">
        <v>1666.67</v>
      </c>
      <c r="D23" s="17">
        <v>1666.67</v>
      </c>
      <c r="E23" s="17">
        <v>1666.67</v>
      </c>
      <c r="F23" s="17">
        <v>1666.67</v>
      </c>
      <c r="G23" s="17">
        <v>1666.67</v>
      </c>
      <c r="H23" s="17">
        <v>1666.67</v>
      </c>
      <c r="I23" s="17">
        <v>1666.67</v>
      </c>
      <c r="J23" s="17">
        <v>1666.67</v>
      </c>
      <c r="K23" s="17">
        <v>1666.67</v>
      </c>
      <c r="L23" s="17">
        <v>1666.67</v>
      </c>
      <c r="M23" s="17">
        <v>1666.67</v>
      </c>
      <c r="N23" s="17">
        <v>1666.67</v>
      </c>
      <c r="O23" s="15">
        <v>20000</v>
      </c>
    </row>
    <row r="24" spans="1:15">
      <c r="A24" s="11" t="s">
        <v>25</v>
      </c>
      <c r="B24" s="12" t="s"/>
      <c r="C24" s="12" t="s"/>
      <c r="D24" s="12" t="s"/>
      <c r="E24" s="12" t="s"/>
      <c r="F24" s="12" t="s"/>
      <c r="G24" s="12" t="s"/>
      <c r="H24" s="12" t="s"/>
      <c r="I24" s="12" t="s"/>
      <c r="J24" s="12" t="s"/>
      <c r="K24" s="17">
        <v>28000</v>
      </c>
      <c r="L24" s="12" t="s"/>
      <c r="M24" s="12" t="s"/>
      <c r="N24" s="12" t="s"/>
      <c r="O24" s="15">
        <v>28000</v>
      </c>
    </row>
    <row r="25" spans="1:15">
      <c r="A25" s="11" t="s"/>
      <c r="B25" s="12" t="s"/>
      <c r="C25" s="12" t="s"/>
      <c r="D25" s="12" t="s"/>
      <c r="E25" s="12" t="s"/>
      <c r="F25" s="12" t="s"/>
      <c r="G25" s="12" t="s"/>
      <c r="H25" s="12" t="s"/>
      <c r="I25" s="12" t="s"/>
      <c r="J25" s="12" t="s"/>
      <c r="K25" s="12" t="s"/>
      <c r="L25" s="12" t="s"/>
      <c r="M25" s="12" t="s"/>
      <c r="N25" s="12" t="s"/>
      <c r="O25" s="10" t="s"/>
    </row>
    <row r="26" spans="1:15">
      <c r="A26" s="7" t="s">
        <v>26</v>
      </c>
      <c r="B26" s="8" t="s"/>
      <c r="C26" s="9">
        <v>8837.37</v>
      </c>
      <c r="D26" s="9">
        <v>-151.52</v>
      </c>
      <c r="E26" s="9">
        <v>-151.52</v>
      </c>
      <c r="F26" s="9">
        <v>8757.37</v>
      </c>
      <c r="G26" s="9">
        <v>-151.52</v>
      </c>
      <c r="H26" s="9">
        <v>-151.52</v>
      </c>
      <c r="I26" s="9">
        <v>8837.37</v>
      </c>
      <c r="J26" s="9">
        <v>-231.52</v>
      </c>
      <c r="K26" s="9">
        <v>-2696.97</v>
      </c>
      <c r="L26" s="9">
        <v>8837.37</v>
      </c>
      <c r="M26" s="9">
        <v>-151.52</v>
      </c>
      <c r="N26" s="9">
        <v>18516.81</v>
      </c>
      <c r="O26" s="15">
        <v>50100.24</v>
      </c>
    </row>
    <row r="27" spans="1:15">
      <c r="A27" s="7" t="s">
        <v>27</v>
      </c>
      <c r="B27" s="8" t="s"/>
      <c r="C27" s="9">
        <v>10514.04</v>
      </c>
      <c r="D27" s="9">
        <v>1525.15</v>
      </c>
      <c r="E27" s="9">
        <v>1525.15</v>
      </c>
      <c r="F27" s="9">
        <v>11314.04</v>
      </c>
      <c r="G27" s="9">
        <v>1525.15</v>
      </c>
      <c r="H27" s="9">
        <v>1525.15</v>
      </c>
      <c r="I27" s="9">
        <v>10514.04</v>
      </c>
      <c r="J27" s="9">
        <v>2325.15</v>
      </c>
      <c r="K27" s="9">
        <v>26979.7</v>
      </c>
      <c r="L27" s="9">
        <v>10514.04</v>
      </c>
      <c r="M27" s="9">
        <v>1525.15</v>
      </c>
      <c r="N27" s="9">
        <v>21073.48</v>
      </c>
      <c r="O27" s="15">
        <v>100860.24</v>
      </c>
    </row>
    <row r="28" spans="1:15">
      <c r="A28" s="19" t="s"/>
      <c r="B28" s="12" t="s"/>
      <c r="C28" s="12" t="s"/>
      <c r="D28" s="12" t="s"/>
      <c r="E28" s="12" t="s"/>
      <c r="F28" s="12" t="s"/>
      <c r="G28" s="12" t="s"/>
      <c r="H28" s="12" t="s"/>
      <c r="I28" s="12" t="s"/>
      <c r="J28" s="12" t="s"/>
      <c r="K28" s="12" t="s"/>
      <c r="L28" s="12" t="s"/>
      <c r="M28" s="12" t="s"/>
      <c r="N28" s="12" t="s"/>
      <c r="O28" s="10" t="s"/>
    </row>
    <row r="29" spans="1:15">
      <c r="A29" s="11" t="s"/>
      <c r="B29" s="12" t="s"/>
      <c r="C29" s="12" t="s"/>
      <c r="D29" s="12" t="s"/>
      <c r="E29" s="12" t="s"/>
      <c r="F29" s="12" t="s"/>
      <c r="G29" s="12" t="s"/>
      <c r="H29" s="12" t="s"/>
      <c r="I29" s="12" t="s"/>
      <c r="J29" s="12" t="s"/>
      <c r="K29" s="12" t="s"/>
      <c r="L29" s="12" t="s"/>
      <c r="M29" s="12" t="s"/>
      <c r="N29" s="12" t="s"/>
      <c r="O29" s="10" t="s"/>
    </row>
    <row r="30" spans="1:15">
      <c r="A30" s="20" t="s">
        <v>28</v>
      </c>
      <c r="B30" s="21" t="s"/>
      <c r="C30" s="22">
        <v>238363.72</v>
      </c>
      <c r="D30" s="22">
        <v>236838.57</v>
      </c>
      <c r="E30" s="22">
        <v>235313.42</v>
      </c>
      <c r="F30" s="22">
        <v>322877.14</v>
      </c>
      <c r="G30" s="22">
        <v>321351.99</v>
      </c>
      <c r="H30" s="22">
        <v>319826.84</v>
      </c>
      <c r="I30" s="22">
        <v>408190.56</v>
      </c>
      <c r="J30" s="22">
        <v>405865.41</v>
      </c>
      <c r="K30" s="22">
        <v>378885.71</v>
      </c>
      <c r="L30" s="22">
        <v>467249.44</v>
      </c>
      <c r="M30" s="22">
        <v>465724.29</v>
      </c>
      <c r="N30" s="22">
        <v>650882.43</v>
      </c>
      <c r="O30" s="23">
        <v>4451369.51</v>
      </c>
    </row>
    <row r="33" spans="1:15" s="26">
      <c r="A33" s="26" t="s">
        <v>34</v>
      </c>
      <c r="B33" s="26" t="s">
        <v>35</v>
      </c>
      <c r="H33" s="27">
        <v>179777.76</v>
      </c>
      <c r="M33" s="28">
        <v>213691.38</v>
      </c>
      <c r="N33" s="27">
        <v>183463.2</v>
      </c>
      <c r="O33" s="29">
        <f>=SUM(C33:N33)</f>
        <v>576932.34</v>
      </c>
    </row>
    <row r="34" spans="1:15">
      <c r="A34" s="11" t="s">
        <v>22</v>
      </c>
      <c r="B34" s="12" t="s"/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7">
        <v>10</v>
      </c>
      <c r="N34" s="17">
        <v>10</v>
      </c>
      <c r="O34">
        <f>=SUM(C34:N34)</f>
        <v>120</v>
      </c>
    </row>
    <row r="35" spans="1:15">
      <c r="A35" s="11" t="s">
        <v>23</v>
      </c>
      <c r="B35" s="12" t="s"/>
      <c r="C35" s="12" t="s"/>
      <c r="D35" s="12" t="s"/>
      <c r="E35" s="12" t="s"/>
      <c r="F35" s="17">
        <v>880</v>
      </c>
      <c r="G35" s="12" t="s"/>
      <c r="H35" s="12" t="s"/>
      <c r="I35" s="12" t="s"/>
      <c r="J35" s="17">
        <v>880</v>
      </c>
      <c r="K35" s="12" t="s"/>
      <c r="L35" s="12" t="s"/>
      <c r="M35" s="12" t="s"/>
      <c r="N35" s="17">
        <v>880</v>
      </c>
      <c r="O35">
        <f>=SUM(C35:N35)</f>
        <v>2640</v>
      </c>
    </row>
    <row r="36" spans="1:15">
      <c r="A36" s="11" t="s">
        <v>24</v>
      </c>
      <c r="B36" s="12" t="s"/>
      <c r="C36" s="17">
        <v>1666.67</v>
      </c>
      <c r="D36" s="17">
        <v>1666.67</v>
      </c>
      <c r="E36" s="17">
        <v>1666.67</v>
      </c>
      <c r="F36" s="17">
        <v>1666.67</v>
      </c>
      <c r="G36" s="17">
        <v>1666.67</v>
      </c>
      <c r="H36" s="17">
        <v>1666.67</v>
      </c>
      <c r="I36" s="17">
        <v>1666.67</v>
      </c>
      <c r="J36" s="17">
        <v>1666.67</v>
      </c>
      <c r="K36" s="17">
        <v>1666.67</v>
      </c>
      <c r="L36" s="17">
        <v>1666.67</v>
      </c>
      <c r="M36" s="17">
        <v>1666.67</v>
      </c>
      <c r="N36" s="17">
        <v>1666.67</v>
      </c>
      <c r="O36">
        <f>=SUM(C36:N36)</f>
        <v>20000.04</v>
      </c>
    </row>
    <row r="37" spans="1:15">
      <c r="A37" s="11" t="s">
        <v>25</v>
      </c>
      <c r="B37" s="12" t="s"/>
      <c r="C37" s="12" t="s"/>
      <c r="D37" s="12" t="s"/>
      <c r="E37" s="12" t="s"/>
      <c r="F37" s="12" t="s"/>
      <c r="G37" s="12" t="s"/>
      <c r="H37" s="12" t="s"/>
      <c r="I37" s="12" t="s"/>
      <c r="J37" s="12" t="s"/>
      <c r="K37" s="17">
        <v>28000</v>
      </c>
      <c r="L37" s="12" t="s"/>
      <c r="M37" s="12" t="s"/>
      <c r="N37" s="12" t="s"/>
      <c r="O37">
        <f>=SUM(C37:N37)</f>
        <v>28000</v>
      </c>
    </row>
  </sheetData>
  <hyperlinks>
    <hyperlink ref="A5" r:id="rId3"/>
    <hyperlink ref="B5" r:id="rId4"/>
    <hyperlink ref="A6" r:id="rId5"/>
    <hyperlink ref="B6" r:id="rId6"/>
  </hyperlinks>
  <legacyDrawing r:id="rId0"/>
</worksheet>
</file>

<file path=xl/worksheets/sheet6.xml><?xml version="1.0" encoding="utf-8"?>
<worksheet xmlns:r="http://schemas.openxmlformats.org/officeDocument/2006/relationships" xmlns="http://schemas.openxmlformats.org/spreadsheetml/2006/main">
  <sheetPr codeName="SY cash flow Budget for FY2025">
    <pageSetUpPr fitToPage="true"/>
  </sheetPr>
  <dimension ref="O69"/>
  <sheetViews>
    <sheetView showGridLines="true" workbookViewId="0">
      <pane ySplit="2" topLeftCell="A3" state="frozen"/>
    </sheetView>
  </sheetViews>
  <sheetFormatPr defaultColWidth="8.875" defaultRowHeight="15"/>
  <cols>
    <col min="1" max="1" width="4.875" customWidth="true"/>
    <col min="2" max="2" width="29.0703" customWidth="true"/>
    <col min="3" max="3" width="13.375" style="86" customWidth="true"/>
    <col min="4" max="4" width="15.125" style="86" customWidth="true"/>
    <col min="5" max="5" width="14.125" style="86" customWidth="true"/>
    <col min="6" max="6" width="16.375" style="86" customWidth="true"/>
    <col min="7" max="7" width="15.625" style="86" customWidth="true"/>
    <col min="8" max="8" width="16.375" style="86" customWidth="true"/>
    <col min="9" max="9" width="14.875" style="86" customWidth="true"/>
    <col min="10" max="10" width="15.5" style="86" customWidth="true"/>
    <col min="11" max="11" width="15.875" style="86" customWidth="true"/>
    <col min="12" max="13" width="15.625" style="86" customWidth="true"/>
    <col min="14" max="14" width="15.5" style="86" customWidth="true"/>
    <col min="15" max="15" width="15.875" style="86" customWidth="true"/>
  </cols>
  <sheetData>
    <row r="1" spans="1:15" ht="18.95">
      <c r="A1" s="81" t="s">
        <v>40</v>
      </c>
      <c r="B1" s="81" t="s"/>
      <c r="C1" s="81" t="s"/>
      <c r="D1" s="81" t="s"/>
      <c r="E1" s="81" t="s"/>
      <c r="F1" s="81" t="s"/>
      <c r="G1" s="81" t="s"/>
      <c r="H1" s="81" t="s"/>
      <c r="I1" s="81" t="s"/>
      <c r="J1" s="81" t="s"/>
      <c r="K1" s="81" t="s"/>
      <c r="L1" s="81" t="s"/>
      <c r="M1" s="81" t="s"/>
      <c r="N1" s="81" t="s"/>
      <c r="O1" s="81" t="s"/>
    </row>
    <row r="2" spans="3:15">
      <c r="C2" s="82">
        <v>45474</v>
      </c>
      <c r="D2" s="82">
        <v>45505</v>
      </c>
      <c r="E2" s="82">
        <v>45536</v>
      </c>
      <c r="F2" s="82">
        <v>45566</v>
      </c>
      <c r="G2" s="82">
        <v>45597</v>
      </c>
      <c r="H2" s="82">
        <v>45627</v>
      </c>
      <c r="I2" s="82">
        <v>45658</v>
      </c>
      <c r="J2" s="82">
        <v>45689</v>
      </c>
      <c r="K2" s="82">
        <v>45717</v>
      </c>
      <c r="L2" s="82">
        <v>45748</v>
      </c>
      <c r="M2" s="82">
        <v>45778</v>
      </c>
      <c r="N2" s="82">
        <v>45809</v>
      </c>
      <c r="O2" s="83" t="s">
        <v>14</v>
      </c>
    </row>
    <row r="3" spans="1:15">
      <c r="A3" s="84" t="s">
        <v>15</v>
      </c>
      <c r="B3" s="84" t="s"/>
      <c r="C3" s="85">
        <v>761119.224363636</v>
      </c>
      <c r="D3" s="85">
        <f>=C34</f>
        <v>830738.512840909</v>
      </c>
      <c r="E3" s="85">
        <f>=D34</f>
        <v>852603.434272727</v>
      </c>
      <c r="F3" s="85">
        <f>=E34</f>
        <v>921333.915636364</v>
      </c>
      <c r="G3" s="85">
        <f>=F34</f>
        <v>991592.291318182</v>
      </c>
      <c r="H3" s="85">
        <f>=G34</f>
        <v>1015434.84194589</v>
      </c>
      <c r="I3" s="85">
        <f>=H34</f>
        <v>1038499.1016645</v>
      </c>
      <c r="J3" s="85">
        <f>=I34</f>
        <v>1107707.90115584</v>
      </c>
      <c r="K3" s="85">
        <f>=J34</f>
        <v>1130053.7972381</v>
      </c>
      <c r="L3" s="85">
        <f>=K34</f>
        <v>1156401.1478658</v>
      </c>
      <c r="M3" s="85">
        <f>=L34</f>
        <v>1224777.60531169</v>
      </c>
      <c r="N3" s="85">
        <f>=M34</f>
        <v>1242900.08321212</v>
      </c>
      <c r="O3" s="86" t="s"/>
    </row>
    <row r="4" spans="1:15">
      <c r="A4" t="s">
        <v>16</v>
      </c>
      <c r="C4" s="86" t="s"/>
      <c r="D4" s="86" t="s"/>
      <c r="E4" s="86" t="s"/>
      <c r="F4" s="86" t="s"/>
      <c r="G4" s="86" t="s"/>
      <c r="H4" s="86" t="s"/>
      <c r="I4" s="86" t="s"/>
      <c r="J4" s="86" t="s"/>
      <c r="K4" s="86" t="s"/>
      <c r="L4" s="86" t="s"/>
      <c r="M4" s="86" t="s"/>
      <c r="N4" s="86" t="s"/>
      <c r="O4" s="86" t="s"/>
    </row>
    <row r="5" spans="1:15">
      <c r="A5" t="s">
        <v>30</v>
      </c>
      <c r="C5" s="86" t="s"/>
      <c r="D5" s="86" t="s"/>
      <c r="E5" s="86" t="s"/>
      <c r="F5" s="86" t="s"/>
      <c r="G5" s="86" t="s"/>
      <c r="H5" s="86" t="s"/>
      <c r="I5" s="86" t="s"/>
      <c r="J5" s="86" t="s"/>
      <c r="K5" s="86" t="s"/>
      <c r="L5" s="86" t="s"/>
      <c r="M5" s="86" t="s"/>
      <c r="N5" s="86" t="s"/>
      <c r="O5" s="86" t="s"/>
    </row>
    <row r="6" spans="1:16">
      <c r="A6">
        <v>1</v>
      </c>
      <c r="B6" t="s">
        <v>97</v>
      </c>
      <c r="C6" s="86">
        <v>14064.2</v>
      </c>
      <c r="D6" s="86">
        <v>15101.82</v>
      </c>
      <c r="E6" s="87">
        <v>41501.82</v>
      </c>
      <c r="F6" s="87">
        <v>12775.08</v>
      </c>
      <c r="G6" s="87">
        <v>10492.12</v>
      </c>
      <c r="H6" s="87">
        <v>9636</v>
      </c>
      <c r="I6" s="87">
        <v>7272.57</v>
      </c>
      <c r="J6" s="87">
        <v>9483.25</v>
      </c>
      <c r="K6" s="86">
        <v>10000</v>
      </c>
      <c r="L6" s="88">
        <v>4625.03</v>
      </c>
      <c r="M6" s="86">
        <v>3957.49</v>
      </c>
      <c r="N6" s="86">
        <v>10000</v>
      </c>
      <c r="O6" s="86">
        <f>=SUM(C6:N6)</f>
        <v>148909.38</v>
      </c>
      <c r="P6" t="s">
        <v>98</v>
      </c>
    </row>
    <row r="7" spans="1:15">
      <c r="A7">
        <v>2</v>
      </c>
      <c r="B7" t="s">
        <v>99</v>
      </c>
      <c r="D7" s="86" t="s"/>
      <c r="E7" s="86">
        <f>=30000/2*(1+3%)*1.1</f>
        <v>16995</v>
      </c>
      <c r="F7" s="86" t="s"/>
      <c r="G7" s="86" t="s"/>
      <c r="H7" s="86" t="s"/>
      <c r="J7" s="86" t="s"/>
      <c r="K7" s="86">
        <f>=(30900*1.03)/2*1.1</f>
        <v>17504.85</v>
      </c>
      <c r="L7" s="86" t="s"/>
      <c r="M7" s="86" t="s"/>
      <c r="N7" s="86" t="s"/>
      <c r="O7" s="86">
        <f>=SUM(D7:N7)</f>
        <v>34499.85</v>
      </c>
    </row>
    <row r="8" spans="1:15">
      <c r="A8">
        <v>3</v>
      </c>
      <c r="B8" t="s">
        <v>100</v>
      </c>
      <c r="C8" s="86">
        <f>=180535/4*(1+7%)*1.1</f>
        <v>53122.42375</v>
      </c>
      <c r="D8" s="86" t="s"/>
      <c r="E8" s="86" t="s"/>
      <c r="F8" s="86">
        <f>=180535/4*(1+7%)*1.1</f>
        <v>53122.42375</v>
      </c>
      <c r="G8" s="86" t="s"/>
      <c r="H8" s="86" t="s"/>
      <c r="I8" s="86">
        <f>=180535/4*(1+7%)*1.1</f>
        <v>53122.42375</v>
      </c>
      <c r="J8" s="86" t="s"/>
      <c r="K8" s="86" t="s"/>
      <c r="L8" s="86">
        <f>=180535/4*(1+7%+3%)*1.1</f>
        <v>54611.8375</v>
      </c>
      <c r="M8" s="86" t="s"/>
      <c r="N8" s="86" t="s"/>
      <c r="O8" s="86">
        <f>=SUM(C8:N8)</f>
        <v>213979.10875</v>
      </c>
    </row>
    <row r="9" spans="1:15">
      <c r="A9">
        <v>4</v>
      </c>
      <c r="B9" t="s">
        <v>101</v>
      </c>
      <c r="D9" s="86" t="s"/>
      <c r="E9" s="86">
        <f>=10000/2*(1)*1.1</f>
        <v>5500</v>
      </c>
      <c r="F9" s="86" t="s"/>
      <c r="G9" s="86" t="s"/>
      <c r="H9" s="86" t="s"/>
      <c r="J9" s="86" t="s"/>
      <c r="K9" s="86">
        <f>=10000/2*(1)*1.1</f>
        <v>5500</v>
      </c>
      <c r="L9" s="86" t="s"/>
      <c r="M9" s="86" t="s"/>
      <c r="N9" s="86" t="s"/>
      <c r="O9" s="86">
        <f>=SUM(C9:N9)</f>
        <v>11000</v>
      </c>
    </row>
    <row r="10" spans="1:15">
      <c r="A10">
        <v>5</v>
      </c>
      <c r="B10" t="s">
        <v>102</v>
      </c>
      <c r="C10" s="89" t="s"/>
      <c r="D10" s="90" t="s"/>
      <c r="E10" s="90" t="s"/>
      <c r="F10" s="90" t="s"/>
      <c r="G10" s="90">
        <f>=950/7*365/12</f>
        <v>4127.97619047619</v>
      </c>
      <c r="H10" s="90">
        <f>=G10</f>
        <v>4127.97619047619</v>
      </c>
      <c r="I10" s="90">
        <f>=H10</f>
        <v>4127.97619047619</v>
      </c>
      <c r="J10" s="90">
        <f>=I10</f>
        <v>4127.97619047619</v>
      </c>
      <c r="K10" s="90">
        <f>=J10</f>
        <v>4127.97619047619</v>
      </c>
      <c r="L10" s="90">
        <f>=K10</f>
        <v>4127.97619047619</v>
      </c>
      <c r="M10" s="90">
        <f>=L10</f>
        <v>4127.97619047619</v>
      </c>
      <c r="N10" s="90">
        <f>=M10</f>
        <v>4127.97619047619</v>
      </c>
      <c r="O10" s="90">
        <f>=SUM(C10:N10)</f>
        <v>33023.8095238095</v>
      </c>
    </row>
    <row r="11" spans="3:15">
      <c r="C11" s="86" t="s"/>
      <c r="D11" s="86" t="s"/>
      <c r="E11" s="86" t="s"/>
      <c r="F11" s="86" t="s"/>
      <c r="G11" s="86" t="s"/>
      <c r="H11" s="86" t="s"/>
      <c r="I11" s="86" t="s"/>
      <c r="J11" s="86" t="s"/>
      <c r="K11" s="86" t="s"/>
      <c r="L11" s="86" t="s"/>
      <c r="M11" s="86" t="s"/>
      <c r="N11" s="86" t="s"/>
      <c r="O11" s="86">
        <f>=SUM(O6:O10)</f>
        <v>441412.14827381</v>
      </c>
    </row>
    <row r="12" spans="1:15" ht="16.5" customHeight="true">
      <c r="A12" t="s">
        <v>41</v>
      </c>
      <c r="C12" s="86" t="s"/>
      <c r="D12" s="86" t="s"/>
      <c r="E12" s="86" t="s"/>
      <c r="F12" s="86" t="s"/>
      <c r="G12" s="86" t="s"/>
      <c r="H12" s="86" t="s"/>
      <c r="I12" s="86" t="s"/>
      <c r="J12" s="86" t="s"/>
      <c r="K12" s="86" t="s"/>
      <c r="L12" s="86" t="s"/>
      <c r="M12" s="86" t="s"/>
      <c r="N12" s="86" t="s"/>
      <c r="O12" s="86" t="s"/>
    </row>
    <row r="13" spans="1:15" ht="16.5" customHeight="true">
      <c r="A13">
        <v>1</v>
      </c>
      <c r="B13" t="s">
        <v>103</v>
      </c>
      <c r="D13" s="86" t="s"/>
      <c r="E13" s="86" t="s"/>
      <c r="F13" s="86" t="s"/>
      <c r="G13" s="86" t="s"/>
      <c r="H13" s="86" t="s"/>
      <c r="I13" s="86" t="s"/>
      <c r="J13" s="86" t="s"/>
      <c r="K13" s="86">
        <f>='SY cash flow Budget for FY2024'!K13</f>
        <v>28000</v>
      </c>
      <c r="L13" s="86" t="s"/>
      <c r="M13" s="86" t="s"/>
      <c r="N13" s="86" t="s"/>
      <c r="O13" s="86">
        <f>=SUM(D13:N13)</f>
        <v>28000</v>
      </c>
    </row>
    <row r="14" spans="1:15" ht="14.25" customHeight="true">
      <c r="A14" s="91">
        <v>2</v>
      </c>
      <c r="B14" s="91" t="s">
        <v>104</v>
      </c>
      <c r="C14" s="92">
        <f>=2824.4</f>
        <v>2824.4</v>
      </c>
      <c r="D14" s="93">
        <f>=C14</f>
        <v>2824.4</v>
      </c>
      <c r="E14" s="93">
        <v>2976.5</v>
      </c>
      <c r="F14" s="93">
        <f>=E14</f>
        <v>2976.5</v>
      </c>
      <c r="G14" s="93">
        <f>=F14</f>
        <v>2976.5</v>
      </c>
      <c r="H14" s="93">
        <f>=G14</f>
        <v>2976.5</v>
      </c>
      <c r="I14" s="93">
        <f>=H14</f>
        <v>2976.5</v>
      </c>
      <c r="J14" s="93">
        <f>=I14</f>
        <v>2976.5</v>
      </c>
      <c r="K14" s="93">
        <f>=J14</f>
        <v>2976.5</v>
      </c>
      <c r="L14" s="93">
        <f>=K14</f>
        <v>2976.5</v>
      </c>
      <c r="M14" s="93">
        <f>=L14</f>
        <v>2976.5</v>
      </c>
      <c r="N14" s="93">
        <f>=M14</f>
        <v>2976.5</v>
      </c>
      <c r="O14" s="92">
        <f>=SUM(D14:N14)</f>
        <v>32589.4</v>
      </c>
    </row>
    <row r="15" spans="1:15" ht="14.25" customHeight="true">
      <c r="A15" s="91" t="s"/>
      <c r="B15" s="91" t="s"/>
      <c r="C15" s="92" t="s"/>
      <c r="D15" s="93" t="s"/>
      <c r="E15" s="93" t="s"/>
      <c r="F15" s="93" t="s"/>
      <c r="G15" s="93" t="s"/>
      <c r="H15" s="93" t="s"/>
      <c r="I15" s="93" t="s"/>
      <c r="J15" s="93" t="s"/>
      <c r="K15" s="93" t="s"/>
      <c r="L15" s="93" t="s"/>
      <c r="M15" s="93" t="s"/>
      <c r="N15" s="93" t="s"/>
      <c r="O15" s="92" t="s"/>
    </row>
    <row r="16" spans="1:15">
      <c r="A16" t="s">
        <v>42</v>
      </c>
      <c r="C16" s="86" t="s"/>
      <c r="D16" s="86" t="s"/>
      <c r="E16" s="86" t="s"/>
      <c r="F16" s="86" t="s"/>
      <c r="G16" s="86" t="s"/>
      <c r="H16" s="86" t="s"/>
      <c r="I16" s="86" t="s"/>
      <c r="J16" s="86" t="s"/>
      <c r="K16" s="86" t="s"/>
      <c r="L16" s="86" t="s"/>
      <c r="M16" s="86" t="s"/>
      <c r="N16" s="86" t="s"/>
      <c r="O16" s="86" t="s"/>
    </row>
    <row r="17" spans="1:15">
      <c r="A17">
        <v>1</v>
      </c>
      <c r="B17" t="s">
        <v>105</v>
      </c>
      <c r="C17" s="86">
        <f>='SY cash flow Budget for FY2024'!N17</f>
        <v>2172.775</v>
      </c>
      <c r="D17" s="86">
        <f>=C17</f>
        <v>2172.775</v>
      </c>
      <c r="E17" s="86">
        <f>=40000/12*1.1</f>
        <v>3666.66666666667</v>
      </c>
      <c r="F17" s="86">
        <f>=E17</f>
        <v>3666.66666666667</v>
      </c>
      <c r="G17" s="86">
        <f>=F17</f>
        <v>3666.66666666667</v>
      </c>
      <c r="H17" s="86">
        <f>=G17</f>
        <v>3666.66666666667</v>
      </c>
      <c r="I17" s="86">
        <f>=H17</f>
        <v>3666.66666666667</v>
      </c>
      <c r="J17" s="86">
        <f>=I17*(1+7%)</f>
        <v>3923.33333333333</v>
      </c>
      <c r="K17" s="86">
        <f>=J17</f>
        <v>3923.33333333333</v>
      </c>
      <c r="L17" s="86">
        <f>=K17</f>
        <v>3923.33333333333</v>
      </c>
      <c r="M17" s="86">
        <f>=L17</f>
        <v>3923.33333333333</v>
      </c>
      <c r="N17" s="86">
        <f>=M17</f>
        <v>3923.33333333333</v>
      </c>
      <c r="O17" s="86">
        <f>=SUM(C17:N17)</f>
        <v>42295.55</v>
      </c>
    </row>
    <row r="18" spans="1:15">
      <c r="A18">
        <v>2</v>
      </c>
      <c r="B18" t="s">
        <v>106</v>
      </c>
      <c r="C18" s="86">
        <f>=35000/12*(1+4%)*1.1</f>
        <v>3336.66666666667</v>
      </c>
      <c r="D18" s="86">
        <f>=35000/12*(1+4%)*1.1</f>
        <v>3336.66666666667</v>
      </c>
      <c r="E18" s="86">
        <f>=35000/12*(1+4%)*1.1</f>
        <v>3336.66666666667</v>
      </c>
      <c r="F18" s="86">
        <f>=35000/12*(1+4%)*1.1</f>
        <v>3336.66666666667</v>
      </c>
      <c r="G18" s="86">
        <f>=35000/12*(1+4%)*1.1</f>
        <v>3336.66666666667</v>
      </c>
      <c r="H18" s="86">
        <f>=35000/12*(1+4%)*1.1</f>
        <v>3336.66666666667</v>
      </c>
      <c r="I18" s="86">
        <f>=35000/12*(1+4%)*1.1</f>
        <v>3336.66666666667</v>
      </c>
      <c r="J18" s="86">
        <f>=35000/12*(1+4%)*1.1</f>
        <v>3336.66666666667</v>
      </c>
      <c r="K18" s="86">
        <f>=35000/12*(1+4%)*1.1</f>
        <v>3336.66666666667</v>
      </c>
      <c r="L18" s="86">
        <f>=35000/12*(1+4%)*1.1</f>
        <v>3336.66666666667</v>
      </c>
      <c r="M18" s="86">
        <f>=35000/12*(1+4%)*1.1</f>
        <v>3336.66666666667</v>
      </c>
      <c r="N18" s="86">
        <f>=35000/12*(1+4%)*1.1</f>
        <v>3336.66666666667</v>
      </c>
      <c r="O18" s="86">
        <f>=SUM(C18:N18)</f>
        <v>40040</v>
      </c>
    </row>
    <row r="19" spans="1:15">
      <c r="A19">
        <v>3</v>
      </c>
      <c r="B19" t="s">
        <v>107</v>
      </c>
      <c r="C19" s="86">
        <f>=25000/12*(1+4%)*1.1</f>
        <v>2383.33333333333</v>
      </c>
      <c r="D19" s="86">
        <f>=25000/12*(1+4%)*1.1</f>
        <v>2383.33333333333</v>
      </c>
      <c r="E19" s="86">
        <f>=25000/12*(1+4%)*1.1</f>
        <v>2383.33333333333</v>
      </c>
      <c r="F19" s="86">
        <f>=25000/12*(1+4%)*1.1</f>
        <v>2383.33333333333</v>
      </c>
      <c r="G19" s="86">
        <f>=25000/12*(1+4%)*1.1</f>
        <v>2383.33333333333</v>
      </c>
      <c r="H19" s="86">
        <f>=25000/12*(1+4%)*1.1</f>
        <v>2383.33333333333</v>
      </c>
      <c r="I19" s="86">
        <f>=25000/12*(1+4%)*1.1</f>
        <v>2383.33333333333</v>
      </c>
      <c r="J19" s="86">
        <f>=25000/12*(1+4%)*1.1</f>
        <v>2383.33333333333</v>
      </c>
      <c r="K19" s="86">
        <f>=25000/12*(1+4%)*1.1</f>
        <v>2383.33333333333</v>
      </c>
      <c r="L19" s="86">
        <f>=25000/12*(1+4%)*1.1</f>
        <v>2383.33333333333</v>
      </c>
      <c r="M19" s="86">
        <f>=25000/12*(1+4%)*1.1</f>
        <v>2383.33333333333</v>
      </c>
      <c r="N19" s="86">
        <f>=25000/12*(1+4%)*1.1</f>
        <v>2383.33333333333</v>
      </c>
      <c r="O19" s="86">
        <f>=SUM(C19:N19)</f>
        <v>28600</v>
      </c>
    </row>
    <row r="20" spans="3:15">
      <c r="C20" s="90" t="s"/>
      <c r="D20" s="90" t="s"/>
      <c r="E20" s="90" t="s"/>
      <c r="F20" s="90" t="s"/>
      <c r="G20" s="90" t="s"/>
      <c r="H20" s="90" t="s"/>
      <c r="I20" s="90" t="s"/>
      <c r="J20" s="90" t="s"/>
      <c r="K20" s="90" t="s"/>
      <c r="L20" s="90" t="s"/>
      <c r="M20" s="90" t="s"/>
      <c r="N20" s="90" t="s"/>
      <c r="O20" s="90" t="s"/>
    </row>
    <row r="21" spans="1:15">
      <c r="A21" s="84" t="s">
        <v>20</v>
      </c>
      <c r="B21" s="94" t="s"/>
      <c r="C21" s="85">
        <f>=SUM(C6:C20)</f>
        <v>77903.79875</v>
      </c>
      <c r="D21" s="85">
        <f>=SUM(D6:D20)</f>
        <v>25818.995</v>
      </c>
      <c r="E21" s="85">
        <f>=SUM(E6:E20)</f>
        <v>76359.9866666667</v>
      </c>
      <c r="F21" s="85">
        <f>=SUM(F6:F20)</f>
        <v>78260.6704166667</v>
      </c>
      <c r="G21" s="85">
        <f>=SUM(G6:G20)</f>
        <v>26983.2628571429</v>
      </c>
      <c r="H21" s="85">
        <f>=SUM(H6:H20)</f>
        <v>26127.1428571429</v>
      </c>
      <c r="I21" s="85">
        <f>=SUM(I6:I20)</f>
        <v>76886.1366071429</v>
      </c>
      <c r="J21" s="85">
        <f>=SUM(J6:J20)</f>
        <v>26231.0595238095</v>
      </c>
      <c r="K21" s="85">
        <f>=SUM(K6:K20)</f>
        <v>77752.6595238095</v>
      </c>
      <c r="L21" s="85">
        <f>=SUM(L6:L20)</f>
        <v>75984.6770238096</v>
      </c>
      <c r="M21" s="85">
        <f>=SUM(M6:M20)</f>
        <v>20705.2995238095</v>
      </c>
      <c r="N21" s="85">
        <f>=SUM(N6:N20)</f>
        <v>26747.8095238095</v>
      </c>
      <c r="O21" s="95">
        <f>=SUM(C21:N21)</f>
        <v>615761.49827381</v>
      </c>
    </row>
    <row r="22" spans="3:15">
      <c r="C22" s="86" t="s"/>
      <c r="D22" s="86" t="s"/>
      <c r="E22" s="86" t="s"/>
      <c r="F22" s="86" t="s"/>
      <c r="G22" s="86" t="s"/>
      <c r="H22" s="86" t="s"/>
      <c r="I22" s="86" t="s"/>
      <c r="J22" s="86" t="s"/>
      <c r="K22" s="86" t="s"/>
      <c r="L22" s="86" t="s"/>
      <c r="M22" s="86" t="s"/>
      <c r="N22" s="86" t="s"/>
      <c r="O22" s="86" t="s"/>
    </row>
    <row r="23" spans="1:15">
      <c r="A23" s="96" t="s">
        <v>21</v>
      </c>
      <c r="C23" s="86" t="s"/>
      <c r="D23" s="86" t="s"/>
      <c r="E23" s="86" t="s"/>
      <c r="F23" s="86" t="s"/>
      <c r="G23" s="86" t="s"/>
      <c r="H23" s="86" t="s"/>
      <c r="I23" s="86" t="s"/>
      <c r="J23" s="86" t="s"/>
      <c r="K23" s="86" t="s"/>
      <c r="L23" s="86" t="s"/>
      <c r="M23" s="86" t="s"/>
      <c r="N23" s="86" t="s"/>
      <c r="O23" s="86" t="s"/>
    </row>
    <row r="24" spans="1:15">
      <c r="A24" t="s">
        <v>39</v>
      </c>
      <c r="C24" s="86">
        <f>=C14*7.7%+(C17+C18+C19)*5.5%</f>
        <v>651.581425</v>
      </c>
      <c r="D24" s="86">
        <f>=D14*7.7%+(D17+D18+D19)*5.5%</f>
        <v>651.581425</v>
      </c>
      <c r="E24" s="86">
        <f>=E14*7.7%+(E17+E18+E19)*5.5%</f>
        <v>745.457166666667</v>
      </c>
      <c r="F24" s="86">
        <f>=F14*7.7%+(F17+F18+F19)*5.5%</f>
        <v>745.457166666667</v>
      </c>
      <c r="G24" s="86">
        <f>=G14*7.7%+(G17+G18+G19)*5.5%</f>
        <v>745.457166666667</v>
      </c>
      <c r="H24" s="86">
        <f>=H14*7.7%+(H17+H18+H19)*5.5%</f>
        <v>745.457166666667</v>
      </c>
      <c r="I24" s="86">
        <f>=I14*7.7%+(I17+I18+I19)*5.5%</f>
        <v>745.457166666667</v>
      </c>
      <c r="J24" s="86">
        <f>=J14*7.7%+(J17+J18+J19)*5.5%</f>
        <v>759.573833333334</v>
      </c>
      <c r="K24" s="86">
        <f>=K14*7.7%+(K17+K18+K19)*5.5%</f>
        <v>759.573833333334</v>
      </c>
      <c r="L24" s="86">
        <f>=L14*7.7%+(L17+L18+L19)*5.5%</f>
        <v>759.573833333334</v>
      </c>
      <c r="M24" s="86">
        <f>=M14*7.7%+(M17+M18+M19)*5.5%</f>
        <v>759.573833333334</v>
      </c>
      <c r="N24" s="86">
        <f>=N14*7.7%+(N17+N18+N19)*5.5%</f>
        <v>759.573833333334</v>
      </c>
      <c r="O24" s="86">
        <f>=SUM(C24:N24)</f>
        <v>8828.31785000001</v>
      </c>
    </row>
    <row r="25" spans="1:15">
      <c r="A25" t="s">
        <v>22</v>
      </c>
      <c r="C25" s="86">
        <v>10</v>
      </c>
      <c r="D25" s="86">
        <v>10</v>
      </c>
      <c r="E25" s="86">
        <v>10</v>
      </c>
      <c r="F25" s="86">
        <v>10</v>
      </c>
      <c r="G25" s="86">
        <v>10</v>
      </c>
      <c r="H25" s="86">
        <v>10</v>
      </c>
      <c r="I25" s="86">
        <v>10</v>
      </c>
      <c r="J25" s="86">
        <v>10</v>
      </c>
      <c r="K25" s="86">
        <v>10</v>
      </c>
      <c r="L25" s="86">
        <v>10</v>
      </c>
      <c r="M25" s="86">
        <v>10</v>
      </c>
      <c r="N25" s="86">
        <v>10</v>
      </c>
      <c r="O25" s="86">
        <f>=SUM(C25:N25)</f>
        <v>120</v>
      </c>
    </row>
    <row r="26" spans="1:15">
      <c r="A26" t="s">
        <v>23</v>
      </c>
      <c r="C26" s="97">
        <f>=440+220</f>
        <v>660</v>
      </c>
      <c r="D26" s="86">
        <v>1105</v>
      </c>
      <c r="E26" s="86" t="s"/>
      <c r="F26" s="86">
        <v>220</v>
      </c>
      <c r="G26" s="86" t="s"/>
      <c r="H26" s="86" t="s"/>
      <c r="I26" s="86" t="s"/>
      <c r="J26" s="86">
        <v>880</v>
      </c>
      <c r="K26" s="86" t="s"/>
      <c r="L26" s="86" t="s"/>
      <c r="M26" s="86" t="s"/>
      <c r="N26" s="86">
        <v>880</v>
      </c>
      <c r="O26" s="86">
        <f>=SUM(C26:N26)</f>
        <v>3745</v>
      </c>
    </row>
    <row r="27" spans="1:15">
      <c r="A27" t="s">
        <v>24</v>
      </c>
      <c r="C27" s="86" t="s"/>
      <c r="D27" s="86" t="s"/>
      <c r="E27" s="86" t="s"/>
      <c r="F27" s="86" t="s"/>
      <c r="G27" s="86" t="s"/>
      <c r="H27" s="86" t="s"/>
      <c r="I27" s="86" t="s"/>
      <c r="J27" s="86" t="s"/>
      <c r="K27" s="86">
        <v>20000</v>
      </c>
      <c r="L27" s="86" t="s"/>
      <c r="M27" s="86" t="s"/>
      <c r="N27" s="86" t="s"/>
      <c r="O27" s="86">
        <f>=SUM(C27:N27)</f>
        <v>20000</v>
      </c>
    </row>
    <row r="28" spans="1:15">
      <c r="A28" t="s">
        <v>25</v>
      </c>
      <c r="C28" s="86" t="s"/>
      <c r="D28" s="86" t="s"/>
      <c r="E28" s="86" t="s"/>
      <c r="F28" s="86" t="s"/>
      <c r="G28" s="86" t="s"/>
      <c r="H28" s="86" t="s"/>
      <c r="I28" s="86" t="s"/>
      <c r="J28" s="86" t="s"/>
      <c r="K28" s="86">
        <v>28000</v>
      </c>
      <c r="L28" s="86" t="s"/>
      <c r="M28" s="86" t="s"/>
      <c r="N28" s="86" t="s"/>
      <c r="O28" s="86">
        <f>=SUM(C28:N28)</f>
        <v>28000</v>
      </c>
    </row>
    <row r="29" spans="3:15">
      <c r="C29" s="86" t="s"/>
      <c r="D29" s="86" t="s"/>
      <c r="E29" s="86" t="s"/>
      <c r="F29" s="86" t="s"/>
      <c r="G29" s="86" t="s"/>
      <c r="H29" s="86" t="s"/>
      <c r="I29" s="86" t="s"/>
      <c r="J29" s="86" t="s"/>
      <c r="K29" s="86" t="s"/>
      <c r="L29" s="86" t="s"/>
      <c r="M29" s="86" t="s"/>
      <c r="N29" s="86" t="s"/>
      <c r="O29" s="86" t="s"/>
    </row>
    <row r="30" spans="1:15">
      <c r="A30" s="84" t="s">
        <v>26</v>
      </c>
      <c r="B30" s="84" t="s"/>
      <c r="C30" s="85">
        <f>=C21/11-SUM(C24+C26+C27+C28)/11</f>
        <v>6962.92884772727</v>
      </c>
      <c r="D30" s="85">
        <f>=D21/11-SUM(D24+D26+D27+D28)/11</f>
        <v>2187.49214318182</v>
      </c>
      <c r="E30" s="85">
        <f>=E21/11-SUM(E24+E26+E27+E28)/11</f>
        <v>6874.04813636364</v>
      </c>
      <c r="F30" s="85">
        <f>=F21/11-SUM(F24+F26+F27+F28)/11</f>
        <v>7026.83756818182</v>
      </c>
      <c r="G30" s="85">
        <f>=G21/11-SUM(G24+G26+G27+G28)/11</f>
        <v>2385.25506277056</v>
      </c>
      <c r="H30" s="85">
        <f>=H21/11-SUM(H24+H26+H27+H28)/11</f>
        <v>2307.42597186147</v>
      </c>
      <c r="I30" s="85">
        <f>=I21/11-SUM(I24+I26+I27+I28)/11</f>
        <v>6921.8799491342</v>
      </c>
      <c r="J30" s="85">
        <f>=J21/11-SUM(J24+J26+J27+J28)/11</f>
        <v>2235.58960822511</v>
      </c>
      <c r="K30" s="85">
        <f>=K21/11-SUM(K24+K26+K27+K28)/11</f>
        <v>2635.73506277056</v>
      </c>
      <c r="L30" s="85">
        <f>=L21/11-SUM(L24+L26+L27+L28)/11</f>
        <v>6838.64574458875</v>
      </c>
      <c r="M30" s="85">
        <f>=M21/11-SUM(M24+M26+M27+M28)/11</f>
        <v>1813.24779004329</v>
      </c>
      <c r="N30" s="85">
        <f>=N21/11-SUM(N24+N26+N27+N28)/11</f>
        <v>2282.56688095238</v>
      </c>
      <c r="O30" s="86">
        <f>=SUM(C30:N30)</f>
        <v>50471.6527658009</v>
      </c>
    </row>
    <row r="31" spans="1:15">
      <c r="A31" s="84" t="s">
        <v>27</v>
      </c>
      <c r="B31" s="84" t="s"/>
      <c r="C31" s="85">
        <f>=SUM(C24:C30)</f>
        <v>8284.51027272728</v>
      </c>
      <c r="D31" s="85">
        <f>=SUM(D24:D30)</f>
        <v>3954.07356818182</v>
      </c>
      <c r="E31" s="85">
        <f>=SUM(E24:E30)</f>
        <v>7629.50530303031</v>
      </c>
      <c r="F31" s="85">
        <f>=SUM(F24:F30)</f>
        <v>8002.29473484849</v>
      </c>
      <c r="G31" s="85">
        <f>=SUM(G24:G30)</f>
        <v>3140.71222943723</v>
      </c>
      <c r="H31" s="85">
        <f>=SUM(H24:H30)</f>
        <v>3062.88313852814</v>
      </c>
      <c r="I31" s="85">
        <f>=SUM(I24:I30)</f>
        <v>7677.33711580087</v>
      </c>
      <c r="J31" s="85">
        <f>=SUM(J24:J30)</f>
        <v>3885.16344155844</v>
      </c>
      <c r="K31" s="85">
        <f>=SUM(K24:K30)</f>
        <v>51405.3088961039</v>
      </c>
      <c r="L31" s="85">
        <f>=SUM(L24:L30)</f>
        <v>7608.21957792208</v>
      </c>
      <c r="M31" s="85">
        <f>=SUM(M24:M30)</f>
        <v>2582.82162337662</v>
      </c>
      <c r="N31" s="85">
        <f>=SUM(N24:N30)</f>
        <v>3932.14071428572</v>
      </c>
      <c r="O31" s="95">
        <f>=SUM(C31:N31)</f>
        <v>111164.970615801</v>
      </c>
    </row>
    <row r="32" spans="1:15">
      <c r="A32" s="96" t="s"/>
      <c r="C32" s="86" t="s"/>
      <c r="D32" s="86" t="s"/>
      <c r="E32" s="86" t="s"/>
      <c r="F32" s="86" t="s"/>
      <c r="G32" s="86" t="s"/>
      <c r="H32" s="86" t="s"/>
      <c r="I32" s="86" t="s"/>
      <c r="J32" s="86" t="s"/>
      <c r="K32" s="86" t="s"/>
      <c r="L32" s="86" t="s"/>
      <c r="M32" s="86" t="s"/>
      <c r="N32" s="86" t="s"/>
      <c r="O32" s="86" t="s"/>
    </row>
    <row r="33" spans="3:15">
      <c r="C33" s="86" t="s"/>
      <c r="D33" s="86" t="s"/>
      <c r="E33" s="86" t="s"/>
      <c r="F33" s="86" t="s"/>
      <c r="G33" s="86" t="s"/>
      <c r="H33" s="86" t="s"/>
      <c r="I33" s="86" t="s"/>
      <c r="J33" s="86" t="s"/>
      <c r="K33" s="86" t="s"/>
      <c r="L33" s="86" t="s"/>
      <c r="M33" s="86" t="s"/>
      <c r="N33" s="86" t="s"/>
      <c r="O33" s="86" t="s"/>
    </row>
    <row r="34" spans="1:15">
      <c r="A34" s="96" t="s">
        <v>28</v>
      </c>
      <c r="B34" s="96" t="s"/>
      <c r="C34" s="83">
        <f>=C3+C21-C31</f>
        <v>830738.512840909</v>
      </c>
      <c r="D34" s="83">
        <f>=D3+D21-D31</f>
        <v>852603.434272727</v>
      </c>
      <c r="E34" s="83">
        <f>=E3+E21-E31</f>
        <v>921333.915636364</v>
      </c>
      <c r="F34" s="83">
        <f>=F3+F21-F31</f>
        <v>991592.291318182</v>
      </c>
      <c r="G34" s="83">
        <f>=G3+G21-G31</f>
        <v>1015434.84194589</v>
      </c>
      <c r="H34" s="83">
        <f>=H3+H21-H31</f>
        <v>1038499.1016645</v>
      </c>
      <c r="I34" s="83">
        <f>=I3+I21-I31</f>
        <v>1107707.90115584</v>
      </c>
      <c r="J34" s="83">
        <f>=J3+J21-J31</f>
        <v>1130053.7972381</v>
      </c>
      <c r="K34" s="83">
        <f>=K3+K21-K31</f>
        <v>1156401.1478658</v>
      </c>
      <c r="L34" s="83">
        <f>=L3+L21-L31</f>
        <v>1224777.60531169</v>
      </c>
      <c r="M34" s="83">
        <f>=M3+M21-M31</f>
        <v>1242900.08321212</v>
      </c>
      <c r="N34" s="98">
        <f>=N3+N21-N31</f>
        <v>1265715.75202165</v>
      </c>
      <c r="O34" s="86" t="s"/>
    </row>
    <row r="35" spans="2:2">
      <c r="B35" s="99" t="s">
        <v>43</v>
      </c>
    </row>
    <row r="36" spans="2:2">
      <c r="B36" t="s">
        <v>44</v>
      </c>
    </row>
    <row r="37" spans="2:2">
      <c r="B37" t="s">
        <v>45</v>
      </c>
    </row>
    <row r="38" spans="2:2">
      <c r="B38" t="s">
        <v>46</v>
      </c>
    </row>
    <row r="39" spans="2:2">
      <c r="B39" t="s">
        <v>47</v>
      </c>
    </row>
    <row r="41" spans="2:2">
      <c r="B41" t="s">
        <v>48</v>
      </c>
    </row>
    <row r="42" spans="2:2">
      <c r="B42" t="s">
        <v>49</v>
      </c>
    </row>
    <row r="44" spans="2:2">
      <c r="B44" t="s">
        <v>50</v>
      </c>
    </row>
    <row r="45" spans="2:2">
      <c r="B45" t="s">
        <v>51</v>
      </c>
    </row>
    <row r="47" spans="2:2">
      <c r="B47" t="s">
        <v>34</v>
      </c>
    </row>
    <row r="48" spans="2:15">
      <c r="B48" t="s">
        <v>52</v>
      </c>
      <c r="D48" s="88">
        <f>=(2086.2+5200)*1.1</f>
        <v>8014.82</v>
      </c>
      <c r="E48" s="88">
        <f>=(5200+2086.2)*1.1</f>
        <v>8014.82</v>
      </c>
      <c r="F48" s="88">
        <f>=(6250+5200+1084.84)*1.1</f>
        <v>13788.324</v>
      </c>
      <c r="G48" s="88">
        <f>=(5200+5200)*1.1</f>
        <v>11440</v>
      </c>
      <c r="I48" s="88">
        <f>=10400*1.1</f>
        <v>11440</v>
      </c>
      <c r="J48" s="88" t="s"/>
      <c r="K48" s="90">
        <f>=3125*1.1</f>
        <v>3437.5</v>
      </c>
      <c r="O48" s="88">
        <f>=SUM(C48:N48)</f>
        <v>56135.464</v>
      </c>
    </row>
    <row r="49" spans="2:15">
      <c r="B49" t="s">
        <v>53</v>
      </c>
      <c r="C49" s="88">
        <f>=2976.5</f>
        <v>2976.5</v>
      </c>
      <c r="D49" s="88">
        <f>=(30000+20909.09+9090.91)*1.1</f>
        <v>66000</v>
      </c>
      <c r="E49" s="88">
        <f>=2976.5+2976.5</f>
        <v>5953</v>
      </c>
      <c r="F49" s="88">
        <f>=2976.5</f>
        <v>2976.5</v>
      </c>
      <c r="G49" s="88">
        <f>=2976.5</f>
        <v>2976.5</v>
      </c>
      <c r="H49" s="88">
        <f>=2976.5</f>
        <v>2976.5</v>
      </c>
      <c r="J49" s="88">
        <f>=2976.5+(20000*1.1)</f>
        <v>24976.5</v>
      </c>
      <c r="K49" s="100">
        <f>=2976.5+2976.5</f>
        <v>5953</v>
      </c>
      <c r="O49" s="88">
        <f>=SUM(C49:N49)</f>
        <v>114788.5</v>
      </c>
    </row>
    <row r="50" spans="2:15">
      <c r="B50" t="s">
        <v>54</v>
      </c>
      <c r="C50" s="88">
        <f>=26219.2*1.1</f>
        <v>28841.12</v>
      </c>
      <c r="O50" s="88">
        <f>=SUM(C50:N50)</f>
        <v>28841.12</v>
      </c>
    </row>
    <row r="51" spans="2:15">
      <c r="B51" t="s">
        <v>55</v>
      </c>
      <c r="C51" s="88">
        <f>=10856.25*1.1</f>
        <v>11941.875</v>
      </c>
      <c r="D51" s="88">
        <f>=9475.19*1.1</f>
        <v>10422.709</v>
      </c>
      <c r="E51" s="88">
        <f>=13728.93*1.1</f>
        <v>15101.823</v>
      </c>
      <c r="F51" s="88">
        <f>=37728.94*1.1</f>
        <v>41501.834</v>
      </c>
      <c r="G51" s="88">
        <f>=44200+(11613.72*1.1)</f>
        <v>56975.092</v>
      </c>
      <c r="H51" s="88">
        <f>=(9538.28*1.1)+140952.69+20000</f>
        <v>171444.798</v>
      </c>
      <c r="I51" s="88">
        <f>=8760*1.1</f>
        <v>9636</v>
      </c>
      <c r="J51" s="88">
        <f>=6611.43*1.1</f>
        <v>7272.573</v>
      </c>
      <c r="K51" s="88">
        <f>=20000+(8621.15*1.1)</f>
        <v>29483.265</v>
      </c>
      <c r="O51" s="88">
        <f>=SUM(C51:N51)</f>
        <v>353779.969</v>
      </c>
    </row>
    <row r="53" spans="15:15">
      <c r="O53" s="88">
        <f>=SUM(O48:O51)</f>
        <v>553545.053</v>
      </c>
    </row>
    <row r="55" spans="2:5">
      <c r="B55" s="101" t="s">
        <v>56</v>
      </c>
      <c r="C55" s="102" t="s">
        <v>57</v>
      </c>
      <c r="D55" s="102" t="s">
        <v>58</v>
      </c>
      <c r="E55" s="102" t="s">
        <v>59</v>
      </c>
    </row>
    <row r="56" spans="2:5">
      <c r="B56" t="s">
        <v>60</v>
      </c>
      <c r="C56" s="88">
        <v>10000</v>
      </c>
      <c r="D56" s="87">
        <v>14064.2</v>
      </c>
      <c r="E56" s="103" t="s">
        <v>108</v>
      </c>
    </row>
    <row r="57" spans="2:5">
      <c r="B57" t="s">
        <v>61</v>
      </c>
      <c r="C57" s="90">
        <v>10000</v>
      </c>
      <c r="D57" s="87">
        <v>15101.82</v>
      </c>
      <c r="E57" s="103" t="s">
        <v>109</v>
      </c>
    </row>
    <row r="58" spans="2:5">
      <c r="B58" t="s">
        <v>62</v>
      </c>
      <c r="C58" s="90">
        <v>10000</v>
      </c>
      <c r="D58" s="87">
        <v>41501.82</v>
      </c>
      <c r="E58" s="103" t="s">
        <v>110</v>
      </c>
    </row>
    <row r="59" spans="2:5">
      <c r="B59" t="s">
        <v>63</v>
      </c>
      <c r="C59" s="90">
        <v>10000</v>
      </c>
      <c r="D59" s="87">
        <v>12775.08</v>
      </c>
      <c r="E59" s="103" t="s">
        <v>111</v>
      </c>
    </row>
    <row r="60" spans="2:5">
      <c r="B60" t="s">
        <v>64</v>
      </c>
      <c r="C60" s="90">
        <v>10000</v>
      </c>
      <c r="D60" s="87">
        <v>10492.12</v>
      </c>
      <c r="E60" s="103" t="s">
        <v>112</v>
      </c>
    </row>
    <row r="61" spans="2:5">
      <c r="B61" t="s">
        <v>65</v>
      </c>
      <c r="C61" s="90">
        <v>10000</v>
      </c>
      <c r="D61" s="87">
        <v>9636</v>
      </c>
      <c r="E61" s="103" t="s">
        <v>113</v>
      </c>
    </row>
    <row r="62" spans="2:5">
      <c r="B62" t="s">
        <v>66</v>
      </c>
      <c r="C62" s="90">
        <v>10000</v>
      </c>
      <c r="D62" s="87">
        <v>7272.57</v>
      </c>
      <c r="E62" s="103" t="s">
        <v>114</v>
      </c>
    </row>
    <row r="63" spans="2:5">
      <c r="B63" t="s">
        <v>67</v>
      </c>
      <c r="C63" s="90">
        <v>10000</v>
      </c>
      <c r="D63" s="87">
        <v>9483.25</v>
      </c>
      <c r="E63" s="103" t="s">
        <v>115</v>
      </c>
    </row>
    <row r="64" spans="2:3">
      <c r="B64" t="s">
        <v>68</v>
      </c>
      <c r="C64" s="90">
        <v>275000</v>
      </c>
    </row>
    <row r="65" spans="2:5">
      <c r="B65" t="s">
        <v>69</v>
      </c>
      <c r="C65" s="90">
        <v>10000</v>
      </c>
      <c r="D65" s="88">
        <v>4625.03</v>
      </c>
      <c r="E65" s="100" t="s">
        <v>116</v>
      </c>
    </row>
    <row r="66" spans="2:5">
      <c r="B66" t="s">
        <v>70</v>
      </c>
      <c r="C66" s="90">
        <v>10000</v>
      </c>
      <c r="D66" s="88">
        <v>3957.49</v>
      </c>
      <c r="E66" s="100" t="s">
        <v>117</v>
      </c>
    </row>
    <row r="67" spans="2:3">
      <c r="B67" t="s">
        <v>71</v>
      </c>
      <c r="C67" s="90">
        <v>10000</v>
      </c>
    </row>
    <row r="68" spans="2:15" s="104">
      <c r="B68" s="104" t="s"/>
      <c r="C68" s="105" t="s"/>
      <c r="D68" s="105" t="s"/>
      <c r="E68" s="106" t="s"/>
      <c r="F68" s="106" t="s"/>
      <c r="G68" s="106" t="s"/>
      <c r="H68" s="106" t="s"/>
      <c r="I68" s="106" t="s"/>
      <c r="J68" s="106" t="s"/>
      <c r="K68" s="106" t="s"/>
      <c r="L68" s="106" t="s"/>
      <c r="M68" s="106" t="s"/>
      <c r="N68" s="106" t="s"/>
      <c r="O68" s="106" t="s"/>
    </row>
    <row r="69" spans="2:4">
      <c r="B69" s="26" t="s">
        <v>72</v>
      </c>
      <c r="C69" s="107">
        <f>=SUM(C56:C67)</f>
        <v>385000</v>
      </c>
      <c r="D69" s="107">
        <f>=SUM(D56:D67)</f>
        <v>128909.38</v>
      </c>
    </row>
  </sheetData>
  <mergeCells count="1">
    <mergeCell ref="A1:O1"/>
  </mergeCells>
  <hyperlinks>
    <hyperlink ref="B6" r:id="rId3"/>
    <hyperlink ref="P6" r:id="rId4"/>
    <hyperlink ref="B7" r:id="rId5"/>
    <hyperlink ref="B8" r:id="rId6"/>
    <hyperlink ref="B9" r:id="rId7"/>
    <hyperlink ref="B10" r:id="rId8"/>
    <hyperlink ref="B13" r:id="rId9"/>
    <hyperlink ref="B14" r:id="rId10"/>
    <hyperlink ref="B17" r:id="rId11"/>
    <hyperlink ref="B18" r:id="rId12"/>
    <hyperlink ref="B19" r:id="rId12"/>
    <hyperlink ref="E56" r:id="rId13"/>
    <hyperlink ref="E57" r:id="rId14"/>
    <hyperlink ref="E58" r:id="rId15"/>
    <hyperlink ref="E59" r:id="rId16"/>
    <hyperlink ref="E60" r:id="rId17"/>
    <hyperlink ref="E61" r:id="rId18"/>
    <hyperlink ref="E62" r:id="rId19"/>
    <hyperlink ref="E63" r:id="rId20"/>
    <hyperlink ref="E65" r:id="rId21"/>
    <hyperlink ref="E66" r:id="rId22"/>
  </hyperlinks>
  <legacyDrawing r:id="rId0"/>
</worksheet>
</file>

<file path=xl/worksheets/sheet7.xml><?xml version="1.0" encoding="utf-8"?>
<worksheet xmlns:r="http://schemas.openxmlformats.org/officeDocument/2006/relationships" xmlns="http://schemas.openxmlformats.org/spreadsheetml/2006/main">
  <sheetPr/>
  <dimension ref="Z31"/>
  <sheetViews>
    <sheetView showGridLines="true" topLeftCell="D25" workbookViewId="0"/>
  </sheetViews>
  <sheetFormatPr defaultColWidth="27.375" defaultRowHeight="15"/>
  <cols>
    <col min="1" max="15" width="12.625" style="178" customWidth="true"/>
    <col min="16" max="26" width="27.375" style="178"/>
  </cols>
  <sheetData>
    <row r="1" spans="1:15">
      <c r="A1" s="4" t="s">
        <v>36</v>
      </c>
      <c r="B1" s="4" t="s"/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6" t="s">
        <v>14</v>
      </c>
    </row>
    <row r="2" spans="1:15" ht="15.95">
      <c r="A2" s="64" t="s">
        <v>16</v>
      </c>
      <c r="B2" s="65" t="s"/>
      <c r="C2" s="65" t="s"/>
      <c r="D2" s="65" t="s"/>
      <c r="E2" s="65" t="s"/>
      <c r="F2" s="65" t="s"/>
      <c r="G2" s="65" t="s"/>
      <c r="H2" s="65" t="s"/>
      <c r="I2" s="65" t="s"/>
      <c r="J2" s="65" t="s"/>
      <c r="K2" s="65" t="s"/>
      <c r="L2" s="65" t="s"/>
      <c r="M2" s="65" t="s"/>
      <c r="N2" s="65" t="s"/>
      <c r="O2" s="66" t="s"/>
    </row>
    <row r="3" spans="1:15" ht="32.1">
      <c r="A3" s="64" t="s">
        <v>37</v>
      </c>
      <c r="B3" s="65" t="s"/>
      <c r="C3" s="65" t="s"/>
      <c r="D3" s="65" t="s"/>
      <c r="E3" s="65" t="s"/>
      <c r="F3" s="65" t="s"/>
      <c r="G3" s="65" t="s"/>
      <c r="H3" s="65" t="s"/>
      <c r="I3" s="65" t="s"/>
      <c r="J3" s="65" t="s"/>
      <c r="K3" s="65" t="s"/>
      <c r="L3" s="65" t="s"/>
      <c r="M3" s="65" t="s"/>
      <c r="N3" s="65" t="s"/>
      <c r="O3" s="66" t="s"/>
    </row>
    <row r="4" spans="1:16" ht="15.95">
      <c r="A4" s="67" t="s">
        <v>19</v>
      </c>
      <c r="B4" s="68" t="s">
        <v>96</v>
      </c>
      <c r="C4" s="69">
        <v>16500</v>
      </c>
      <c r="D4" s="65" t="s"/>
      <c r="E4" s="65" t="s"/>
      <c r="F4" s="65" t="s"/>
      <c r="G4" s="65" t="s"/>
      <c r="H4" s="69">
        <v>16500</v>
      </c>
      <c r="I4" s="65" t="s"/>
      <c r="J4" s="65" t="s"/>
      <c r="K4" s="65" t="s"/>
      <c r="L4" s="65" t="s"/>
      <c r="M4" s="65" t="s"/>
      <c r="N4" s="65" t="s"/>
      <c r="O4" s="70">
        <v>33000</v>
      </c>
      <c r="P4" s="71" t="s">
        <v>38</v>
      </c>
    </row>
    <row r="5" spans="1:15">
      <c r="A5" s="64" t="s"/>
      <c r="B5" s="65" t="s"/>
      <c r="C5" s="65" t="s"/>
      <c r="D5" s="65" t="s"/>
      <c r="E5" s="65" t="s"/>
      <c r="F5" s="65" t="s"/>
      <c r="G5" s="65" t="s"/>
      <c r="H5" s="65" t="s"/>
      <c r="I5" s="65" t="s"/>
      <c r="J5" s="65" t="s"/>
      <c r="K5" s="65" t="s"/>
      <c r="L5" s="65" t="s"/>
      <c r="M5" s="65" t="s"/>
      <c r="N5" s="65" t="s"/>
      <c r="O5" s="66" t="s"/>
    </row>
    <row r="6" spans="1:15">
      <c r="A6" s="64" t="s"/>
      <c r="B6" s="65" t="s"/>
      <c r="C6" s="65" t="s"/>
      <c r="D6" s="65" t="s"/>
      <c r="E6" s="65" t="s"/>
      <c r="F6" s="65" t="s"/>
      <c r="G6" s="65" t="s"/>
      <c r="H6" s="65" t="s"/>
      <c r="I6" s="65" t="s"/>
      <c r="J6" s="65" t="s"/>
      <c r="K6" s="65" t="s"/>
      <c r="L6" s="65" t="s"/>
      <c r="M6" s="65" t="s"/>
      <c r="N6" s="65" t="s"/>
      <c r="O6" s="66" t="s"/>
    </row>
    <row r="7" spans="1:15">
      <c r="A7" s="64" t="s"/>
      <c r="B7" s="65" t="s"/>
      <c r="C7" s="65" t="s"/>
      <c r="D7" s="65" t="s"/>
      <c r="E7" s="65" t="s"/>
      <c r="F7" s="65" t="s"/>
      <c r="G7" s="65" t="s"/>
      <c r="H7" s="65" t="s"/>
      <c r="I7" s="65" t="s"/>
      <c r="J7" s="65" t="s"/>
      <c r="K7" s="65" t="s"/>
      <c r="L7" s="65" t="s"/>
      <c r="M7" s="65" t="s"/>
      <c r="N7" s="65" t="s"/>
      <c r="O7" s="66" t="s"/>
    </row>
    <row r="8" spans="1:15">
      <c r="A8" s="64" t="s"/>
      <c r="B8" s="65" t="s"/>
      <c r="C8" s="65" t="s"/>
      <c r="D8" s="65" t="s"/>
      <c r="E8" s="65" t="s"/>
      <c r="F8" s="65" t="s"/>
      <c r="G8" s="65" t="s"/>
      <c r="H8" s="65" t="s"/>
      <c r="I8" s="65" t="s"/>
      <c r="J8" s="65" t="s"/>
      <c r="K8" s="65" t="s"/>
      <c r="L8" s="65" t="s"/>
      <c r="M8" s="65" t="s"/>
      <c r="N8" s="65" t="s"/>
      <c r="O8" s="66" t="s"/>
    </row>
    <row r="9" spans="1:15">
      <c r="A9" s="64" t="s"/>
      <c r="B9" s="65" t="s"/>
      <c r="C9" s="65" t="s"/>
      <c r="D9" s="65" t="s"/>
      <c r="E9" s="65" t="s"/>
      <c r="F9" s="65" t="s"/>
      <c r="G9" s="65" t="s"/>
      <c r="H9" s="65" t="s"/>
      <c r="I9" s="65" t="s"/>
      <c r="J9" s="65" t="s"/>
      <c r="K9" s="65" t="s"/>
      <c r="L9" s="65" t="s"/>
      <c r="M9" s="65" t="s"/>
      <c r="N9" s="65" t="s"/>
      <c r="O9" s="66" t="s"/>
    </row>
    <row r="10" spans="1:15">
      <c r="A10" s="64" t="s"/>
      <c r="B10" s="65" t="s"/>
      <c r="C10" s="65" t="s"/>
      <c r="D10" s="65" t="s"/>
      <c r="E10" s="65" t="s"/>
      <c r="F10" s="65" t="s"/>
      <c r="G10" s="65" t="s"/>
      <c r="H10" s="65" t="s"/>
      <c r="I10" s="65" t="s"/>
      <c r="J10" s="65" t="s"/>
      <c r="K10" s="65" t="s"/>
      <c r="L10" s="65" t="s"/>
      <c r="M10" s="65" t="s"/>
      <c r="N10" s="65" t="s"/>
      <c r="O10" s="66" t="s"/>
    </row>
    <row r="11" spans="1:15">
      <c r="A11" s="64" t="s"/>
      <c r="B11" s="65" t="s"/>
      <c r="C11" s="65" t="s"/>
      <c r="D11" s="65" t="s"/>
      <c r="E11" s="65" t="s"/>
      <c r="F11" s="65" t="s"/>
      <c r="G11" s="65" t="s"/>
      <c r="H11" s="65" t="s"/>
      <c r="I11" s="65" t="s"/>
      <c r="J11" s="65" t="s"/>
      <c r="K11" s="65" t="s"/>
      <c r="L11" s="65" t="s"/>
      <c r="M11" s="65" t="s"/>
      <c r="N11" s="65" t="s"/>
      <c r="O11" s="66" t="s"/>
    </row>
    <row r="12" spans="1:15">
      <c r="A12" s="64" t="s"/>
      <c r="B12" s="65" t="s"/>
      <c r="C12" s="65" t="s"/>
      <c r="D12" s="65" t="s"/>
      <c r="E12" s="65" t="s"/>
      <c r="F12" s="65" t="s"/>
      <c r="G12" s="65" t="s"/>
      <c r="H12" s="65" t="s"/>
      <c r="I12" s="65" t="s"/>
      <c r="J12" s="65" t="s"/>
      <c r="K12" s="65" t="s"/>
      <c r="L12" s="65" t="s"/>
      <c r="M12" s="65" t="s"/>
      <c r="N12" s="65" t="s"/>
      <c r="O12" s="66" t="s"/>
    </row>
    <row r="13" spans="1:15">
      <c r="A13" s="64" t="s"/>
      <c r="B13" s="65" t="s"/>
      <c r="C13" s="65" t="s"/>
      <c r="D13" s="65" t="s"/>
      <c r="E13" s="65" t="s"/>
      <c r="F13" s="65" t="s"/>
      <c r="G13" s="65" t="s"/>
      <c r="H13" s="65" t="s"/>
      <c r="I13" s="65" t="s"/>
      <c r="J13" s="65" t="s"/>
      <c r="K13" s="65" t="s"/>
      <c r="L13" s="65" t="s"/>
      <c r="M13" s="65" t="s"/>
      <c r="N13" s="65" t="s"/>
      <c r="O13" s="66" t="s"/>
    </row>
    <row r="14" spans="1:15">
      <c r="A14" s="64" t="s"/>
      <c r="B14" s="65" t="s"/>
      <c r="C14" s="65" t="s"/>
      <c r="D14" s="65" t="s"/>
      <c r="E14" s="65" t="s"/>
      <c r="F14" s="65" t="s"/>
      <c r="G14" s="65" t="s"/>
      <c r="H14" s="65" t="s"/>
      <c r="I14" s="65" t="s"/>
      <c r="J14" s="65" t="s"/>
      <c r="K14" s="65" t="s"/>
      <c r="L14" s="65" t="s"/>
      <c r="M14" s="65" t="s"/>
      <c r="N14" s="65" t="s"/>
      <c r="O14" s="66" t="s"/>
    </row>
    <row r="15" spans="1:15">
      <c r="A15" s="64" t="s"/>
      <c r="B15" s="65" t="s"/>
      <c r="C15" s="65" t="s"/>
      <c r="D15" s="65" t="s"/>
      <c r="E15" s="65" t="s"/>
      <c r="F15" s="65" t="s"/>
      <c r="G15" s="65" t="s"/>
      <c r="H15" s="65" t="s"/>
      <c r="I15" s="65" t="s"/>
      <c r="J15" s="65" t="s"/>
      <c r="K15" s="65" t="s"/>
      <c r="L15" s="65" t="s"/>
      <c r="M15" s="65" t="s"/>
      <c r="N15" s="65" t="s"/>
      <c r="O15" s="66" t="s"/>
    </row>
    <row r="16" spans="1:15" ht="15.95">
      <c r="A16" s="72" t="s">
        <v>20</v>
      </c>
      <c r="B16" s="73" t="s"/>
      <c r="C16" s="74">
        <v>16500</v>
      </c>
      <c r="D16" s="75" t="s">
        <v>33</v>
      </c>
      <c r="E16" s="75" t="s">
        <v>33</v>
      </c>
      <c r="F16" s="75" t="s">
        <v>33</v>
      </c>
      <c r="G16" s="75" t="s">
        <v>33</v>
      </c>
      <c r="H16" s="74">
        <v>16500</v>
      </c>
      <c r="I16" s="75" t="s">
        <v>33</v>
      </c>
      <c r="J16" s="75" t="s">
        <v>33</v>
      </c>
      <c r="K16" s="75" t="s">
        <v>33</v>
      </c>
      <c r="L16" s="75" t="s">
        <v>33</v>
      </c>
      <c r="M16" s="75" t="s">
        <v>33</v>
      </c>
      <c r="N16" s="75" t="s">
        <v>33</v>
      </c>
      <c r="O16" s="70">
        <v>33000</v>
      </c>
    </row>
    <row r="17" spans="1:15">
      <c r="A17" s="64" t="s"/>
      <c r="B17" s="65" t="s"/>
      <c r="C17" s="65" t="s"/>
      <c r="D17" s="65" t="s"/>
      <c r="E17" s="65" t="s"/>
      <c r="F17" s="65" t="s"/>
      <c r="G17" s="65" t="s"/>
      <c r="H17" s="65" t="s"/>
      <c r="I17" s="65" t="s"/>
      <c r="J17" s="65" t="s"/>
      <c r="K17" s="65" t="s"/>
      <c r="L17" s="65" t="s"/>
      <c r="M17" s="65" t="s"/>
      <c r="N17" s="65" t="s"/>
      <c r="O17" s="66" t="s"/>
    </row>
    <row r="18" spans="1:15" ht="15.95">
      <c r="A18" s="76" t="s">
        <v>21</v>
      </c>
      <c r="B18" s="65" t="s"/>
      <c r="C18" s="65" t="s"/>
      <c r="D18" s="65" t="s"/>
      <c r="E18" s="65" t="s"/>
      <c r="F18" s="65" t="s"/>
      <c r="G18" s="65" t="s"/>
      <c r="H18" s="65" t="s"/>
      <c r="I18" s="65" t="s"/>
      <c r="J18" s="65" t="s"/>
      <c r="K18" s="65" t="s"/>
      <c r="L18" s="65" t="s"/>
      <c r="M18" s="65" t="s"/>
      <c r="N18" s="65" t="s"/>
      <c r="O18" s="66" t="s"/>
    </row>
    <row r="19" spans="1:15" ht="32.1">
      <c r="A19" s="64" t="s">
        <v>39</v>
      </c>
      <c r="B19" s="65" t="s"/>
      <c r="C19" s="69">
        <v>825</v>
      </c>
      <c r="D19" s="65" t="s">
        <v>33</v>
      </c>
      <c r="E19" s="65" t="s">
        <v>33</v>
      </c>
      <c r="F19" s="65" t="s">
        <v>33</v>
      </c>
      <c r="G19" s="65" t="s">
        <v>33</v>
      </c>
      <c r="H19" s="69">
        <v>825</v>
      </c>
      <c r="I19" s="65" t="s">
        <v>33</v>
      </c>
      <c r="J19" s="65" t="s">
        <v>33</v>
      </c>
      <c r="K19" s="65" t="s">
        <v>33</v>
      </c>
      <c r="L19" s="65" t="s">
        <v>33</v>
      </c>
      <c r="M19" s="65" t="s">
        <v>33</v>
      </c>
      <c r="N19" s="65" t="s">
        <v>33</v>
      </c>
      <c r="O19" s="70">
        <v>1650</v>
      </c>
    </row>
    <row r="20" spans="1:15" ht="15.95">
      <c r="A20" s="64" t="s">
        <v>22</v>
      </c>
      <c r="B20" s="65" t="s"/>
      <c r="C20" s="69">
        <v>10</v>
      </c>
      <c r="D20" s="69">
        <v>10</v>
      </c>
      <c r="E20" s="69">
        <v>10</v>
      </c>
      <c r="F20" s="69">
        <v>10</v>
      </c>
      <c r="G20" s="69">
        <v>10</v>
      </c>
      <c r="H20" s="69">
        <v>10</v>
      </c>
      <c r="I20" s="69">
        <v>10</v>
      </c>
      <c r="J20" s="69">
        <v>10</v>
      </c>
      <c r="K20" s="69">
        <v>10</v>
      </c>
      <c r="L20" s="69">
        <v>10</v>
      </c>
      <c r="M20" s="69">
        <v>10</v>
      </c>
      <c r="N20" s="69">
        <v>10</v>
      </c>
      <c r="O20" s="70">
        <v>120</v>
      </c>
    </row>
    <row r="21" spans="1:15" ht="15.95">
      <c r="A21" s="64" t="s">
        <v>23</v>
      </c>
      <c r="B21" s="65" t="s"/>
      <c r="C21" s="65" t="s"/>
      <c r="D21" s="65" t="s"/>
      <c r="E21" s="65" t="s"/>
      <c r="F21" s="69">
        <v>880</v>
      </c>
      <c r="G21" s="65" t="s"/>
      <c r="H21" s="65" t="s"/>
      <c r="I21" s="65" t="s"/>
      <c r="J21" s="69">
        <v>880</v>
      </c>
      <c r="K21" s="65" t="s"/>
      <c r="L21" s="65" t="s"/>
      <c r="M21" s="65" t="s"/>
      <c r="N21" s="69">
        <v>880</v>
      </c>
      <c r="O21" s="70">
        <v>2640</v>
      </c>
    </row>
    <row r="22" spans="1:15" ht="15.95">
      <c r="A22" s="64" t="s">
        <v>24</v>
      </c>
      <c r="B22" s="65" t="s"/>
      <c r="C22" s="69" t="s"/>
      <c r="D22" s="69" t="s"/>
      <c r="E22" s="69" t="s"/>
      <c r="F22" s="69" t="s"/>
      <c r="G22" s="69" t="s"/>
      <c r="H22" s="69" t="s"/>
      <c r="I22" s="69" t="s"/>
      <c r="J22" s="69" t="s"/>
      <c r="K22" s="69" t="s"/>
      <c r="L22" s="69" t="s"/>
      <c r="M22" s="69" t="s"/>
      <c r="N22" s="69" t="s"/>
      <c r="O22" s="70" t="s"/>
    </row>
    <row r="23" spans="1:15" ht="15.95">
      <c r="A23" s="64" t="s">
        <v>25</v>
      </c>
      <c r="B23" s="65" t="s"/>
      <c r="C23" s="69" t="s"/>
      <c r="D23" s="69" t="s"/>
      <c r="E23" s="69" t="s"/>
      <c r="F23" s="69" t="s"/>
      <c r="G23" s="69" t="s"/>
      <c r="H23" s="69" t="s"/>
      <c r="I23" s="69" t="s"/>
      <c r="J23" s="69" t="s"/>
      <c r="K23" s="69" t="s"/>
      <c r="L23" s="69" t="s"/>
      <c r="M23" s="69" t="s"/>
      <c r="N23" s="69" t="s"/>
      <c r="O23" s="70" t="s"/>
    </row>
    <row r="24" spans="1:15">
      <c r="A24" s="64" t="s"/>
      <c r="B24" s="65" t="s"/>
      <c r="C24" s="65" t="s"/>
      <c r="D24" s="65" t="s"/>
      <c r="E24" s="65" t="s"/>
      <c r="F24" s="65" t="s"/>
      <c r="G24" s="65" t="s"/>
      <c r="H24" s="65" t="s"/>
      <c r="I24" s="65" t="s"/>
      <c r="J24" s="65" t="s"/>
      <c r="K24" s="65" t="s"/>
      <c r="L24" s="65" t="s"/>
      <c r="M24" s="65" t="s"/>
      <c r="N24" s="65" t="s"/>
      <c r="O24" s="66" t="s"/>
    </row>
    <row r="25" spans="1:15" ht="15.95">
      <c r="A25" s="72" t="s">
        <v>26</v>
      </c>
      <c r="B25" s="75" t="s"/>
      <c r="C25" s="74">
        <v>1061.36</v>
      </c>
      <c r="D25" s="74" t="s"/>
      <c r="E25" s="74" t="s"/>
      <c r="F25" s="74" t="s"/>
      <c r="G25" s="74" t="s"/>
      <c r="H25" s="74">
        <v>1061.36</v>
      </c>
      <c r="I25" s="74" t="s"/>
      <c r="J25" s="74" t="s"/>
      <c r="K25" s="74" t="s"/>
      <c r="L25" s="74" t="s"/>
      <c r="M25" s="74" t="s"/>
      <c r="N25" s="74" t="s"/>
      <c r="O25" s="70" t="s"/>
    </row>
    <row r="26" spans="1:15" ht="15.95">
      <c r="A26" s="72" t="s">
        <v>27</v>
      </c>
      <c r="B26" s="75" t="s"/>
      <c r="C26" s="74" t="s"/>
      <c r="D26" s="74" t="s"/>
      <c r="E26" s="74" t="s"/>
      <c r="F26" s="74" t="s"/>
      <c r="G26" s="74" t="s"/>
      <c r="H26" s="74" t="s"/>
      <c r="I26" s="74" t="s"/>
      <c r="J26" s="74" t="s"/>
      <c r="K26" s="74" t="s"/>
      <c r="L26" s="74" t="s"/>
      <c r="M26" s="74" t="s"/>
      <c r="N26" s="74" t="s"/>
      <c r="O26" s="70" t="s"/>
    </row>
    <row r="27" spans="1:15">
      <c r="A27" s="76" t="s"/>
      <c r="B27" s="65" t="s"/>
      <c r="C27" s="65" t="s"/>
      <c r="D27" s="65" t="s"/>
      <c r="E27" s="65" t="s"/>
      <c r="F27" s="65" t="s"/>
      <c r="G27" s="65" t="s"/>
      <c r="H27" s="65" t="s"/>
      <c r="I27" s="65" t="s"/>
      <c r="J27" s="65" t="s"/>
      <c r="K27" s="65" t="s"/>
      <c r="L27" s="65" t="s"/>
      <c r="M27" s="65" t="s"/>
      <c r="N27" s="65" t="s"/>
      <c r="O27" s="66" t="s"/>
    </row>
    <row r="28" spans="1:15">
      <c r="A28" s="64" t="s"/>
      <c r="B28" s="65" t="s"/>
      <c r="C28" s="65" t="s"/>
      <c r="D28" s="65" t="s"/>
      <c r="E28" s="65" t="s"/>
      <c r="F28" s="65" t="s"/>
      <c r="G28" s="65" t="s"/>
      <c r="H28" s="65" t="s"/>
      <c r="I28" s="65" t="s"/>
      <c r="J28" s="65" t="s"/>
      <c r="K28" s="65" t="s"/>
      <c r="L28" s="65" t="s"/>
      <c r="M28" s="65" t="s"/>
      <c r="N28" s="65" t="s"/>
      <c r="O28" s="66" t="s"/>
    </row>
    <row r="29" spans="1:15" ht="32.1">
      <c r="A29" s="77" t="s">
        <v>28</v>
      </c>
      <c r="B29" s="78" t="s"/>
      <c r="C29" s="79">
        <v>10603.64</v>
      </c>
      <c r="D29" s="79" t="s"/>
      <c r="E29" s="79" t="s"/>
      <c r="F29" s="79" t="s"/>
      <c r="G29" s="79" t="s"/>
      <c r="H29" s="79">
        <v>10603.64</v>
      </c>
      <c r="I29" s="79" t="s"/>
      <c r="J29" s="79" t="s"/>
      <c r="K29" s="79" t="s"/>
      <c r="L29" s="79" t="s"/>
      <c r="M29" s="79" t="s"/>
      <c r="N29" s="79" t="s"/>
      <c r="O29" s="63">
        <f t="array" ref="O29:O31">=O16-O19:O21</f>
        <v>31350</v>
      </c>
    </row>
    <row r="30" spans="15:15">
      <c r="O30" s="80">
        <v>32880</v>
      </c>
    </row>
    <row r="31" spans="15:15">
      <c r="O31" s="80">
        <v>30360</v>
      </c>
    </row>
  </sheetData>
  <hyperlinks>
    <hyperlink ref="A4" r:id="rId0"/>
    <hyperlink ref="B4" r:id="rId1"/>
  </hyperlinks>
</worksheet>
</file>

<file path=xl/worksheets/sheet8.xml><?xml version="1.0" encoding="utf-8"?>
<worksheet xmlns:r="http://schemas.openxmlformats.org/officeDocument/2006/relationships" xmlns="http://schemas.openxmlformats.org/spreadsheetml/2006/main">
  <sheetPr codeName="Creekside Hills 2025FY"/>
  <dimension ref="O30"/>
  <sheetViews>
    <sheetView showGridLines="true" workbookViewId="0"/>
  </sheetViews>
  <sheetFormatPr defaultColWidth="8.875" defaultRowHeight="15"/>
  <cols>
    <col min="3" max="14" width="10.6523" customWidth="true"/>
    <col min="15" max="15" width="11.9727" customWidth="true"/>
    <col min="16" max="16" width="27.582" customWidth="true"/>
    <col min="18" max="18" width="11.9727" customWidth="true"/>
  </cols>
  <sheetData>
    <row r="1" spans="1:15">
      <c r="A1" t="s">
        <v>1</v>
      </c>
      <c r="B1" s="30" t="s"/>
      <c r="C1" s="31">
        <v>45474</v>
      </c>
      <c r="D1" s="31">
        <v>45505</v>
      </c>
      <c r="E1" s="31">
        <v>45536</v>
      </c>
      <c r="F1" s="31">
        <v>45566</v>
      </c>
      <c r="G1" s="31">
        <v>45597</v>
      </c>
      <c r="H1" s="31">
        <v>45627</v>
      </c>
      <c r="I1" s="31">
        <v>45658</v>
      </c>
      <c r="J1" s="31">
        <v>45689</v>
      </c>
      <c r="K1" s="31">
        <v>45717</v>
      </c>
      <c r="L1" s="31">
        <v>45748</v>
      </c>
      <c r="M1" s="31">
        <v>45778</v>
      </c>
      <c r="N1" s="31">
        <v>45809</v>
      </c>
      <c r="O1" s="32" t="s">
        <v>14</v>
      </c>
    </row>
    <row r="2" spans="1:15">
      <c r="A2" s="33" t="s">
        <v>15</v>
      </c>
      <c r="B2" s="34" t="s"/>
      <c r="C2" s="35" t="s"/>
      <c r="D2" s="35" t="s"/>
      <c r="E2" s="35" t="s"/>
      <c r="F2" s="35" t="s"/>
      <c r="G2" s="35" t="s"/>
      <c r="H2" s="35" t="s"/>
      <c r="I2" s="35" t="s"/>
      <c r="J2" s="35" t="s"/>
      <c r="K2" s="35" t="s"/>
      <c r="L2" s="173" t="s"/>
      <c r="M2" s="173" t="s"/>
      <c r="N2" s="173" t="s"/>
      <c r="O2" s="37" t="s"/>
    </row>
    <row r="3" spans="1:15">
      <c r="A3" s="38" t="s">
        <v>16</v>
      </c>
      <c r="B3" s="39" t="s"/>
      <c r="C3" s="39" t="s"/>
      <c r="D3" s="39" t="s"/>
      <c r="E3" s="39" t="s"/>
      <c r="F3" s="39" t="s"/>
      <c r="G3" s="39" t="s"/>
      <c r="H3" s="39" t="s"/>
      <c r="I3" s="39" t="s"/>
      <c r="J3" s="39" t="s"/>
      <c r="K3" s="39" t="s"/>
      <c r="L3" s="174" t="s"/>
      <c r="M3" s="174" t="s"/>
      <c r="N3" s="174" t="s"/>
      <c r="O3" s="41" t="s"/>
    </row>
    <row r="4" spans="1:15">
      <c r="A4" t="s">
        <v>17</v>
      </c>
      <c r="B4" s="39" t="s"/>
      <c r="C4" s="39" t="s"/>
      <c r="D4" s="39" t="s"/>
      <c r="E4" s="39" t="s"/>
      <c r="F4" s="39" t="s"/>
      <c r="G4" s="39" t="s"/>
      <c r="H4" s="39" t="s"/>
      <c r="I4" s="39" t="s"/>
      <c r="J4" s="39" t="s"/>
      <c r="K4" s="39" t="s"/>
      <c r="L4" s="174" t="s"/>
      <c r="M4" s="174" t="s"/>
      <c r="N4" s="174" t="s"/>
      <c r="O4" s="41" t="s"/>
    </row>
    <row r="5" spans="2:16">
      <c r="B5" s="42" t="s">
        <v>18</v>
      </c>
      <c r="C5" s="43">
        <f>=15141*1.03</f>
        <v>15595.23</v>
      </c>
      <c r="D5" s="43">
        <f>=15141*1.03</f>
        <v>15595.23</v>
      </c>
      <c r="E5" s="43">
        <f>=15141*1.03</f>
        <v>15595.23</v>
      </c>
      <c r="F5" s="43">
        <f>=15141*1.03</f>
        <v>15595.23</v>
      </c>
      <c r="G5" s="43">
        <f>=15141*1.03</f>
        <v>15595.23</v>
      </c>
      <c r="H5" s="43">
        <f>=15141*1.03</f>
        <v>15595.23</v>
      </c>
      <c r="I5" s="43">
        <f>=15141*1.03</f>
        <v>15595.23</v>
      </c>
      <c r="J5" s="43">
        <f>=15141*1.03</f>
        <v>15595.23</v>
      </c>
      <c r="K5" s="43">
        <f>=(130000*1.1)/12</f>
        <v>11916.6666666667</v>
      </c>
      <c r="L5" s="43">
        <f>=(130000*1.1)/12</f>
        <v>11916.6666666667</v>
      </c>
      <c r="M5" s="43">
        <f>=(130000*1.1)/12</f>
        <v>11916.6666666667</v>
      </c>
      <c r="N5" s="43">
        <f>=(130000*1.1)/12</f>
        <v>11916.6666666667</v>
      </c>
      <c r="O5" s="44">
        <f>=SUM(C5:N5)</f>
        <v>172428.506666667</v>
      </c>
      <c r="P5" t="s">
        <v>95</v>
      </c>
    </row>
    <row r="6" spans="1:15">
      <c r="A6" s="45" t="s">
        <v>19</v>
      </c>
      <c r="B6" s="42" t="s"/>
      <c r="C6" s="46" t="s"/>
      <c r="D6" s="39" t="s"/>
      <c r="E6" s="39" t="s"/>
      <c r="F6" s="46" t="s"/>
      <c r="G6" s="39" t="s"/>
      <c r="H6" s="39" t="s"/>
      <c r="I6" s="46" t="s"/>
      <c r="J6" s="39" t="s"/>
      <c r="K6" s="39" t="s"/>
      <c r="L6" s="174" t="s"/>
      <c r="M6" s="174" t="s"/>
      <c r="N6" s="174" t="s"/>
      <c r="O6" s="44" t="s"/>
    </row>
    <row r="7" spans="1:15">
      <c r="A7" s="38" t="s"/>
      <c r="B7" s="39" t="s"/>
      <c r="C7" s="39" t="s"/>
      <c r="D7" s="39" t="s"/>
      <c r="E7" s="39" t="s"/>
      <c r="F7" s="39" t="s"/>
      <c r="G7" s="39" t="s"/>
      <c r="H7" s="39" t="s"/>
      <c r="I7" s="39" t="s"/>
      <c r="J7" s="39" t="s"/>
      <c r="K7" s="39" t="s"/>
      <c r="L7" s="174" t="s"/>
      <c r="M7" s="174" t="s"/>
      <c r="N7" s="174" t="s"/>
      <c r="O7" s="41" t="s"/>
    </row>
    <row r="8" spans="1:15">
      <c r="A8" s="38" t="s"/>
      <c r="B8" s="39" t="s"/>
      <c r="C8" s="39" t="s"/>
      <c r="D8" s="39" t="s"/>
      <c r="E8" s="39" t="s"/>
      <c r="F8" s="39" t="s"/>
      <c r="G8" s="39" t="s"/>
      <c r="H8" s="39" t="s"/>
      <c r="I8" s="39" t="s"/>
      <c r="J8" s="39" t="s"/>
      <c r="K8" s="39" t="s"/>
      <c r="L8" s="174" t="s"/>
      <c r="M8" s="174" t="s"/>
      <c r="N8" s="174" t="s"/>
      <c r="O8" s="41" t="s"/>
    </row>
    <row r="9" spans="1:15">
      <c r="A9" s="38" t="s"/>
      <c r="B9" s="39" t="s"/>
      <c r="C9" s="39" t="s"/>
      <c r="D9" s="39" t="s"/>
      <c r="E9" s="39" t="s"/>
      <c r="F9" s="39" t="s"/>
      <c r="G9" s="39" t="s"/>
      <c r="H9" s="39" t="s"/>
      <c r="I9" s="39" t="s"/>
      <c r="J9" s="39" t="s"/>
      <c r="K9" s="39" t="s"/>
      <c r="L9" s="174" t="s"/>
      <c r="M9" s="174" t="s"/>
      <c r="N9" s="174" t="s"/>
      <c r="O9" s="41" t="s"/>
    </row>
    <row r="10" spans="1:15">
      <c r="A10" s="38" t="s"/>
      <c r="B10" s="39" t="s"/>
      <c r="C10" s="39" t="s"/>
      <c r="D10" s="39" t="s"/>
      <c r="E10" s="39" t="s"/>
      <c r="F10" s="39" t="s"/>
      <c r="G10" s="39" t="s"/>
      <c r="H10" s="39" t="s"/>
      <c r="I10" s="39" t="s"/>
      <c r="J10" s="39" t="s"/>
      <c r="K10" s="39" t="s"/>
      <c r="L10" s="174" t="s"/>
      <c r="M10" s="174" t="s"/>
      <c r="N10" s="174" t="s"/>
      <c r="O10" s="41" t="s"/>
    </row>
    <row r="11" spans="1:15">
      <c r="A11" s="38" t="s"/>
      <c r="B11" s="39" t="s"/>
      <c r="C11" s="39" t="s"/>
      <c r="D11" s="39" t="s"/>
      <c r="E11" s="39" t="s"/>
      <c r="F11" s="39" t="s"/>
      <c r="G11" s="39" t="s"/>
      <c r="H11" s="39" t="s"/>
      <c r="I11" s="39" t="s"/>
      <c r="J11" s="39" t="s"/>
      <c r="K11" s="39" t="s"/>
      <c r="L11" s="174" t="s"/>
      <c r="M11" s="174" t="s"/>
      <c r="N11" s="174" t="s"/>
      <c r="O11" s="41" t="s"/>
    </row>
    <row r="12" spans="1:15">
      <c r="A12" s="38" t="s"/>
      <c r="B12" s="39" t="s"/>
      <c r="C12" s="39" t="s"/>
      <c r="D12" s="39" t="s"/>
      <c r="E12" s="39" t="s"/>
      <c r="F12" s="39" t="s"/>
      <c r="G12" s="39" t="s"/>
      <c r="H12" s="39" t="s"/>
      <c r="I12" s="39" t="s"/>
      <c r="J12" s="39" t="s"/>
      <c r="K12" s="39" t="s"/>
      <c r="L12" s="174" t="s"/>
      <c r="M12" s="174" t="s"/>
      <c r="N12" s="174" t="s"/>
      <c r="O12" s="41" t="s"/>
    </row>
    <row r="13" spans="1:15">
      <c r="A13" s="38" t="s"/>
      <c r="B13" s="39" t="s"/>
      <c r="C13" s="39" t="s"/>
      <c r="D13" s="39" t="s"/>
      <c r="E13" s="39" t="s"/>
      <c r="F13" s="39" t="s"/>
      <c r="G13" s="39" t="s"/>
      <c r="H13" s="39" t="s"/>
      <c r="I13" s="39" t="s"/>
      <c r="J13" s="39" t="s"/>
      <c r="K13" s="39" t="s"/>
      <c r="L13" s="174" t="s"/>
      <c r="M13" s="174" t="s"/>
      <c r="N13" s="174" t="s"/>
      <c r="O13" s="41" t="s"/>
    </row>
    <row r="14" spans="1:15">
      <c r="A14" s="38" t="s"/>
      <c r="B14" s="39" t="s"/>
      <c r="C14" s="39" t="s"/>
      <c r="D14" s="39" t="s"/>
      <c r="E14" s="39" t="s"/>
      <c r="F14" s="39" t="s"/>
      <c r="G14" s="39" t="s"/>
      <c r="H14" s="39" t="s"/>
      <c r="I14" s="39" t="s"/>
      <c r="J14" s="39" t="s"/>
      <c r="K14" s="39" t="s"/>
      <c r="L14" s="174" t="s"/>
      <c r="M14" s="174" t="s"/>
      <c r="N14" s="174" t="s"/>
      <c r="O14" s="41" t="s"/>
    </row>
    <row r="15" spans="1:15">
      <c r="A15" s="38" t="s"/>
      <c r="B15" s="39" t="s"/>
      <c r="C15" s="39" t="s"/>
      <c r="D15" s="39" t="s"/>
      <c r="E15" s="39" t="s"/>
      <c r="F15" s="39" t="s"/>
      <c r="G15" s="39" t="s"/>
      <c r="H15" s="39" t="s"/>
      <c r="I15" s="39" t="s"/>
      <c r="J15" s="39" t="s"/>
      <c r="K15" s="39" t="s"/>
      <c r="L15" s="174" t="s"/>
      <c r="M15" s="174" t="s"/>
      <c r="N15" s="174" t="s"/>
      <c r="O15" s="41" t="s"/>
    </row>
    <row r="16" spans="1:15">
      <c r="A16" s="38" t="s"/>
      <c r="B16" s="39" t="s"/>
      <c r="C16" s="39" t="s"/>
      <c r="D16" s="39" t="s"/>
      <c r="E16" s="39" t="s"/>
      <c r="F16" s="39" t="s"/>
      <c r="G16" s="39" t="s"/>
      <c r="H16" s="39" t="s"/>
      <c r="I16" s="39" t="s"/>
      <c r="J16" s="39" t="s"/>
      <c r="K16" s="39" t="s"/>
      <c r="L16" s="174" t="s"/>
      <c r="M16" s="174" t="s"/>
      <c r="N16" s="174" t="s"/>
      <c r="O16" s="41" t="s"/>
    </row>
    <row r="17" spans="1:15">
      <c r="A17" s="33" t="s">
        <v>20</v>
      </c>
      <c r="B17" s="47" t="s"/>
      <c r="C17" s="44">
        <f>=C5</f>
        <v>15595.23</v>
      </c>
      <c r="D17" s="44">
        <f>=D5</f>
        <v>15595.23</v>
      </c>
      <c r="E17" s="44">
        <f>=E5</f>
        <v>15595.23</v>
      </c>
      <c r="F17" s="44">
        <f>=F5</f>
        <v>15595.23</v>
      </c>
      <c r="G17" s="44">
        <f>=G5</f>
        <v>15595.23</v>
      </c>
      <c r="H17" s="44">
        <f>=H5</f>
        <v>15595.23</v>
      </c>
      <c r="I17" s="44">
        <f>=I5</f>
        <v>15595.23</v>
      </c>
      <c r="J17" s="44">
        <f>=J5</f>
        <v>15595.23</v>
      </c>
      <c r="K17" s="44">
        <f>=K5</f>
        <v>11916.6666666667</v>
      </c>
      <c r="L17" s="43">
        <f>=L5</f>
        <v>11916.6666666667</v>
      </c>
      <c r="M17" s="44">
        <f>=M5</f>
        <v>11916.6666666667</v>
      </c>
      <c r="N17" s="44">
        <f>=N5</f>
        <v>11916.6666666667</v>
      </c>
      <c r="O17" s="44">
        <f>=O5</f>
        <v>172428.506666667</v>
      </c>
    </row>
    <row r="18" spans="1:15">
      <c r="A18" s="38" t="s"/>
      <c r="B18" s="39" t="s"/>
      <c r="C18" s="39" t="s"/>
      <c r="D18" s="39" t="s"/>
      <c r="E18" s="39" t="s"/>
      <c r="F18" s="39" t="s"/>
      <c r="G18" s="39" t="s"/>
      <c r="H18" s="39" t="s"/>
      <c r="I18" s="39" t="s"/>
      <c r="J18" s="39" t="s"/>
      <c r="K18" s="39" t="s"/>
      <c r="L18" s="174" t="s"/>
      <c r="M18" s="174" t="s"/>
      <c r="N18" s="174" t="s"/>
      <c r="O18" s="41" t="s"/>
    </row>
    <row r="19" spans="1:15">
      <c r="A19" s="48" t="s">
        <v>21</v>
      </c>
      <c r="B19" s="39" t="s"/>
      <c r="C19" s="39" t="s"/>
      <c r="D19" s="39" t="s"/>
      <c r="E19" s="39" t="s"/>
      <c r="F19" s="39" t="s"/>
      <c r="G19" s="39" t="s"/>
      <c r="H19" s="39" t="s"/>
      <c r="I19" s="39" t="s"/>
      <c r="J19" s="39" t="s"/>
      <c r="K19" s="39" t="s"/>
      <c r="L19" s="174" t="s"/>
      <c r="M19" s="174" t="s"/>
      <c r="N19" s="174" t="s"/>
      <c r="O19" s="41" t="s"/>
    </row>
    <row r="20" spans="1:15">
      <c r="A20" s="38" t="s"/>
      <c r="B20" s="39" t="s"/>
      <c r="C20" s="39" t="s"/>
      <c r="D20" s="39" t="s"/>
      <c r="E20" s="39" t="s"/>
      <c r="F20" s="39" t="s"/>
      <c r="G20" s="39" t="s"/>
      <c r="H20" s="39" t="s"/>
      <c r="I20" s="39" t="s"/>
      <c r="J20" s="39" t="s"/>
      <c r="K20" s="39" t="s"/>
      <c r="L20" s="174" t="s"/>
      <c r="M20" s="174" t="s"/>
      <c r="N20" s="174" t="s"/>
      <c r="O20" s="41" t="s"/>
    </row>
    <row r="21" spans="1:15">
      <c r="A21" s="38" t="s">
        <v>22</v>
      </c>
      <c r="B21" s="39" t="s"/>
      <c r="C21" s="46">
        <v>10</v>
      </c>
      <c r="D21" s="46">
        <v>10</v>
      </c>
      <c r="E21" s="46">
        <v>10</v>
      </c>
      <c r="F21" s="46">
        <v>10</v>
      </c>
      <c r="G21" s="46">
        <v>10</v>
      </c>
      <c r="H21" s="46">
        <v>10</v>
      </c>
      <c r="I21" s="46">
        <v>10</v>
      </c>
      <c r="J21" s="46">
        <v>10</v>
      </c>
      <c r="K21" s="46">
        <v>10</v>
      </c>
      <c r="L21" s="175">
        <v>10</v>
      </c>
      <c r="M21" s="175">
        <v>10</v>
      </c>
      <c r="N21" s="175">
        <v>10</v>
      </c>
      <c r="O21" s="44">
        <f>=SUM(C21:N21)</f>
        <v>120</v>
      </c>
    </row>
    <row r="22" spans="1:15">
      <c r="A22" s="38" t="s">
        <v>23</v>
      </c>
      <c r="B22" s="39" t="s"/>
      <c r="C22" s="39" t="s"/>
      <c r="D22" s="39" t="s"/>
      <c r="E22" s="39" t="s"/>
      <c r="F22" s="46">
        <v>880</v>
      </c>
      <c r="G22" s="39" t="s"/>
      <c r="H22" s="39" t="s"/>
      <c r="I22" s="39" t="s"/>
      <c r="J22" s="46">
        <v>880</v>
      </c>
      <c r="K22" s="39" t="s"/>
      <c r="L22" s="174" t="s"/>
      <c r="M22" s="174" t="s"/>
      <c r="N22" s="175">
        <v>880</v>
      </c>
      <c r="O22" s="44">
        <f>=SUM(C22:N22)</f>
        <v>2640</v>
      </c>
    </row>
    <row r="23" spans="1:15">
      <c r="A23" s="38" t="s">
        <v>24</v>
      </c>
      <c r="B23" s="39" t="s"/>
      <c r="C23" s="46" t="s"/>
      <c r="D23" s="46" t="s"/>
      <c r="E23" s="46" t="s"/>
      <c r="F23" s="46" t="s"/>
      <c r="G23" s="46" t="s"/>
      <c r="H23" s="46" t="s"/>
      <c r="I23" s="46" t="s"/>
      <c r="J23" s="46" t="s"/>
      <c r="K23" s="46" t="s"/>
      <c r="L23" s="175" t="s"/>
      <c r="M23" s="175" t="s"/>
      <c r="N23" s="175" t="s"/>
      <c r="O23" s="44" t="s"/>
    </row>
    <row r="24" spans="1:15">
      <c r="A24" s="38" t="s">
        <v>25</v>
      </c>
      <c r="B24" s="39" t="s"/>
      <c r="C24" s="39" t="s"/>
      <c r="D24" s="39" t="s"/>
      <c r="E24" s="39" t="s"/>
      <c r="F24" s="39" t="s"/>
      <c r="G24" s="39" t="s"/>
      <c r="H24" s="39" t="s"/>
      <c r="I24" s="39" t="s"/>
      <c r="J24" s="39" t="s"/>
      <c r="K24" s="46">
        <v>28000</v>
      </c>
      <c r="L24" s="175" t="s"/>
      <c r="M24" s="175" t="s"/>
      <c r="N24" s="175" t="s"/>
      <c r="O24" s="44">
        <v>28000</v>
      </c>
    </row>
    <row r="25" spans="1:15">
      <c r="A25" s="38" t="s"/>
      <c r="B25" s="39" t="s"/>
      <c r="C25" s="39" t="s"/>
      <c r="D25" s="39" t="s"/>
      <c r="E25" s="39" t="s"/>
      <c r="F25" s="39" t="s"/>
      <c r="G25" s="39" t="s"/>
      <c r="H25" s="39" t="s"/>
      <c r="I25" s="39" t="s"/>
      <c r="J25" s="39" t="s"/>
      <c r="K25" s="39" t="s"/>
      <c r="L25" s="174" t="s"/>
      <c r="M25" s="174" t="s"/>
      <c r="N25" s="174" t="s"/>
      <c r="O25" s="41" t="s"/>
    </row>
    <row r="26" spans="1:15">
      <c r="A26" s="33" t="s">
        <v>26</v>
      </c>
      <c r="B26" s="34" t="s"/>
      <c r="C26" s="35">
        <f>=C17/11</f>
        <v>1417.74818181818</v>
      </c>
      <c r="D26" s="35">
        <f>=D17/11</f>
        <v>1417.74818181818</v>
      </c>
      <c r="E26" s="35">
        <f>=E17/11</f>
        <v>1417.74818181818</v>
      </c>
      <c r="F26" s="35">
        <f>=F17/11</f>
        <v>1417.74818181818</v>
      </c>
      <c r="G26" s="35">
        <f>=G17/11</f>
        <v>1417.74818181818</v>
      </c>
      <c r="H26" s="35">
        <f>=H17/11</f>
        <v>1417.74818181818</v>
      </c>
      <c r="I26" s="35">
        <f>=I17/11</f>
        <v>1417.74818181818</v>
      </c>
      <c r="J26" s="35">
        <f>=J17/11</f>
        <v>1417.74818181818</v>
      </c>
      <c r="K26" s="35">
        <f>=K17/11</f>
        <v>1083.33333333333</v>
      </c>
      <c r="L26" s="35">
        <f>=L5/11</f>
        <v>1083.33333333333</v>
      </c>
      <c r="M26" s="35">
        <f>=M5/11</f>
        <v>1083.33333333333</v>
      </c>
      <c r="N26" s="35">
        <f>=N5/11</f>
        <v>1083.33333333333</v>
      </c>
      <c r="O26" s="35">
        <f>=O17/11</f>
        <v>15675.3187878788</v>
      </c>
    </row>
    <row r="27" spans="1:15">
      <c r="A27" s="33" t="s">
        <v>27</v>
      </c>
      <c r="B27" s="34" t="s"/>
      <c r="C27" s="35" t="s"/>
      <c r="D27" s="35" t="s"/>
      <c r="E27" s="35" t="s"/>
      <c r="F27" s="35" t="s"/>
      <c r="G27" s="35" t="s"/>
      <c r="H27" s="35" t="s"/>
      <c r="I27" s="35" t="s"/>
      <c r="J27" s="35" t="s"/>
      <c r="K27" s="35" t="s"/>
      <c r="L27" s="173" t="s"/>
      <c r="M27" s="173" t="s"/>
      <c r="N27" s="173" t="s"/>
      <c r="O27" s="50" t="s"/>
    </row>
    <row r="28" spans="1:15">
      <c r="A28" s="48" t="s"/>
      <c r="B28" s="39" t="s"/>
      <c r="C28" s="39" t="s"/>
      <c r="D28" s="39" t="s"/>
      <c r="E28" s="39" t="s"/>
      <c r="F28" s="39" t="s"/>
      <c r="G28" s="39" t="s"/>
      <c r="H28" s="39" t="s"/>
      <c r="I28" s="39" t="s"/>
      <c r="J28" s="39" t="s"/>
      <c r="K28" s="39" t="s"/>
      <c r="L28" s="174" t="s"/>
      <c r="M28" s="174" t="s"/>
      <c r="N28" s="174" t="s"/>
      <c r="O28" s="41" t="s"/>
    </row>
    <row r="29" spans="1:15">
      <c r="A29" s="38" t="s"/>
      <c r="B29" s="39" t="s"/>
      <c r="C29" s="39" t="s"/>
      <c r="D29" s="39" t="s"/>
      <c r="E29" s="39" t="s"/>
      <c r="F29" s="39" t="s"/>
      <c r="G29" s="39" t="s"/>
      <c r="H29" s="39" t="s"/>
      <c r="I29" s="39" t="s"/>
      <c r="J29" s="39" t="s"/>
      <c r="K29" s="39" t="s"/>
      <c r="L29" s="174" t="s"/>
      <c r="M29" s="174" t="s"/>
      <c r="N29" s="174" t="s"/>
      <c r="O29" s="41" t="s"/>
    </row>
    <row r="30" spans="1:15">
      <c r="A30" s="51" t="s">
        <v>28</v>
      </c>
      <c r="B30" s="52" t="s"/>
      <c r="C30" s="53" t="s"/>
      <c r="D30" s="53" t="s"/>
      <c r="E30" s="53" t="s"/>
      <c r="F30" s="53" t="s"/>
      <c r="G30" s="53" t="s"/>
      <c r="H30" s="53" t="s"/>
      <c r="I30" s="53" t="s"/>
      <c r="J30" s="53" t="s"/>
      <c r="K30" s="53" t="s"/>
      <c r="L30" s="176" t="s"/>
      <c r="M30" s="176" t="s"/>
      <c r="N30" s="176" t="s"/>
      <c r="O30" s="55" t="s"/>
    </row>
  </sheetData>
  <hyperlinks>
    <hyperlink ref="B5" r:id="rId3"/>
    <hyperlink ref="A6" r:id="rId4"/>
  </hyperlinks>
  <legacyDrawing r:id="rId0"/>
</worksheet>
</file>

<file path=xl/worksheets/sheet9.xml><?xml version="1.0" encoding="utf-8"?>
<worksheet xmlns:r="http://schemas.openxmlformats.org/officeDocument/2006/relationships" xmlns="http://schemas.openxmlformats.org/spreadsheetml/2006/main">
  <sheetPr/>
  <dimension ref="R30"/>
  <sheetViews>
    <sheetView showGridLines="true" workbookViewId="0"/>
  </sheetViews>
  <sheetFormatPr defaultColWidth="8.875" defaultRowHeight="15"/>
  <cols>
    <col min="1" max="18" width="12.625" customWidth="true"/>
  </cols>
  <sheetData>
    <row r="1" spans="1:15">
      <c r="A1" t="s">
        <v>1</v>
      </c>
      <c r="B1" s="4" t="s"/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>
      <c r="A2" s="7" t="s">
        <v>15</v>
      </c>
      <c r="B2" s="8" t="s"/>
      <c r="C2" s="9" t="s"/>
      <c r="D2" s="9" t="s"/>
      <c r="E2" s="9" t="s"/>
      <c r="F2" s="9" t="s"/>
      <c r="G2" s="9" t="s"/>
      <c r="H2" s="9" t="s"/>
      <c r="I2" s="9" t="s"/>
      <c r="J2" s="9" t="s"/>
      <c r="K2" s="9" t="s"/>
      <c r="L2" s="9" t="s"/>
      <c r="M2" s="9" t="s"/>
      <c r="N2" s="9" t="s"/>
      <c r="O2" s="10" t="s"/>
    </row>
    <row r="3" spans="1:15">
      <c r="A3" s="11" t="s">
        <v>16</v>
      </c>
      <c r="B3" s="12" t="s"/>
      <c r="C3" s="12" t="s"/>
      <c r="D3" s="12" t="s"/>
      <c r="E3" s="12" t="s"/>
      <c r="F3" s="12" t="s"/>
      <c r="G3" s="12" t="s"/>
      <c r="H3" s="12" t="s"/>
      <c r="I3" s="12" t="s"/>
      <c r="J3" s="12" t="s"/>
      <c r="K3" s="12" t="s"/>
      <c r="L3" s="12" t="s"/>
      <c r="M3" s="12" t="s"/>
      <c r="N3" s="12" t="s"/>
      <c r="O3" s="10" t="s"/>
    </row>
    <row r="4" spans="1:15">
      <c r="A4" t="s">
        <v>17</v>
      </c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/>
      <c r="L4" s="12" t="s"/>
      <c r="M4" s="12" t="s"/>
      <c r="N4" s="12" t="s"/>
      <c r="O4" s="10" t="s"/>
    </row>
    <row r="5" spans="2:15" ht="15.95">
      <c r="B5" s="13" t="s">
        <v>18</v>
      </c>
      <c r="C5" s="14">
        <v>15141</v>
      </c>
      <c r="D5" s="14">
        <v>15141</v>
      </c>
      <c r="E5" s="14">
        <v>15141</v>
      </c>
      <c r="F5" s="14">
        <v>15141</v>
      </c>
      <c r="G5" s="14">
        <v>15141</v>
      </c>
      <c r="H5" s="14">
        <v>15141</v>
      </c>
      <c r="I5" s="14">
        <v>15141</v>
      </c>
      <c r="J5" s="14">
        <v>15141</v>
      </c>
      <c r="K5" s="14">
        <v>15141</v>
      </c>
      <c r="L5" s="14">
        <v>15141</v>
      </c>
      <c r="M5" s="14">
        <v>15141</v>
      </c>
      <c r="N5" s="14">
        <v>15141</v>
      </c>
      <c r="O5" s="15">
        <f>=SUM(C5:N5)</f>
        <v>181692</v>
      </c>
    </row>
    <row r="6" spans="1:15">
      <c r="A6" s="16" t="s">
        <v>19</v>
      </c>
      <c r="B6" s="13" t="s"/>
      <c r="C6" s="17" t="s"/>
      <c r="D6" s="12" t="s"/>
      <c r="E6" s="12" t="s"/>
      <c r="F6" s="17" t="s"/>
      <c r="G6" s="12" t="s"/>
      <c r="H6" s="12" t="s"/>
      <c r="I6" s="17" t="s"/>
      <c r="J6" s="12" t="s"/>
      <c r="K6" s="12" t="s"/>
      <c r="L6" s="17" t="s"/>
      <c r="M6" s="12" t="s"/>
      <c r="N6" s="12" t="s"/>
      <c r="O6" s="15" t="s"/>
    </row>
    <row r="7" spans="1:15">
      <c r="A7" s="11" t="s"/>
      <c r="B7" s="12" t="s"/>
      <c r="C7" s="12" t="s"/>
      <c r="D7" s="12" t="s"/>
      <c r="E7" s="12" t="s"/>
      <c r="F7" s="12" t="s"/>
      <c r="G7" s="12" t="s"/>
      <c r="H7" s="12" t="s"/>
      <c r="I7" s="12" t="s"/>
      <c r="J7" s="12" t="s"/>
      <c r="K7" s="12" t="s"/>
      <c r="L7" s="12" t="s"/>
      <c r="M7" s="12" t="s"/>
      <c r="N7" s="12" t="s"/>
      <c r="O7" s="10" t="s"/>
    </row>
    <row r="8" spans="1:15">
      <c r="A8" s="11" t="s"/>
      <c r="B8" s="12" t="s"/>
      <c r="C8" s="12" t="s"/>
      <c r="D8" s="12" t="s"/>
      <c r="E8" s="12" t="s"/>
      <c r="F8" s="12" t="s"/>
      <c r="G8" s="12" t="s"/>
      <c r="H8" s="12" t="s"/>
      <c r="I8" s="12" t="s"/>
      <c r="J8" s="12" t="s"/>
      <c r="K8" s="12" t="s"/>
      <c r="L8" s="12" t="s"/>
      <c r="M8" s="12" t="s"/>
      <c r="N8" s="12" t="s"/>
      <c r="O8" s="10" t="s"/>
    </row>
    <row r="9" spans="1:15">
      <c r="A9" s="11" t="s"/>
      <c r="B9" s="12" t="s"/>
      <c r="C9" s="12" t="s"/>
      <c r="D9" s="12" t="s"/>
      <c r="E9" s="12" t="s"/>
      <c r="F9" s="12" t="s"/>
      <c r="G9" s="12" t="s"/>
      <c r="H9" s="12" t="s"/>
      <c r="I9" s="12" t="s"/>
      <c r="J9" s="12" t="s"/>
      <c r="K9" s="12" t="s"/>
      <c r="L9" s="12" t="s"/>
      <c r="M9" s="12" t="s"/>
      <c r="N9" s="12" t="s"/>
      <c r="O9" s="10" t="s"/>
    </row>
    <row r="10" spans="1:15">
      <c r="A10" s="11" t="s"/>
      <c r="B10" s="12" t="s"/>
      <c r="C10" s="12" t="s"/>
      <c r="D10" s="12" t="s"/>
      <c r="E10" s="12" t="s"/>
      <c r="F10" s="12" t="s"/>
      <c r="G10" s="12" t="s"/>
      <c r="H10" s="12" t="s"/>
      <c r="I10" s="12" t="s"/>
      <c r="J10" s="12" t="s"/>
      <c r="K10" s="12" t="s"/>
      <c r="L10" s="12" t="s"/>
      <c r="M10" s="12" t="s"/>
      <c r="N10" s="12" t="s"/>
      <c r="O10" s="10" t="s"/>
    </row>
    <row r="11" spans="1:15">
      <c r="A11" s="11" t="s"/>
      <c r="B11" s="12" t="s"/>
      <c r="C11" s="12" t="s"/>
      <c r="D11" s="12" t="s"/>
      <c r="E11" s="12" t="s"/>
      <c r="F11" s="12" t="s"/>
      <c r="G11" s="12" t="s"/>
      <c r="H11" s="12" t="s"/>
      <c r="I11" s="12" t="s"/>
      <c r="J11" s="12" t="s"/>
      <c r="K11" s="12" t="s"/>
      <c r="L11" s="12" t="s"/>
      <c r="M11" s="12" t="s"/>
      <c r="N11" s="12" t="s"/>
      <c r="O11" s="10" t="s"/>
    </row>
    <row r="12" spans="1:15">
      <c r="A12" s="11" t="s"/>
      <c r="B12" s="12" t="s"/>
      <c r="C12" s="12" t="s"/>
      <c r="D12" s="12" t="s"/>
      <c r="E12" s="12" t="s"/>
      <c r="F12" s="12" t="s"/>
      <c r="G12" s="12" t="s"/>
      <c r="H12" s="12" t="s"/>
      <c r="I12" s="12" t="s"/>
      <c r="J12" s="12" t="s"/>
      <c r="K12" s="12" t="s"/>
      <c r="L12" s="12" t="s"/>
      <c r="M12" s="12" t="s"/>
      <c r="N12" s="12" t="s"/>
      <c r="O12" s="10" t="s"/>
    </row>
    <row r="13" spans="1:15">
      <c r="A13" s="11" t="s"/>
      <c r="B13" s="12" t="s"/>
      <c r="C13" s="12" t="s"/>
      <c r="D13" s="12" t="s"/>
      <c r="E13" s="12" t="s"/>
      <c r="F13" s="12" t="s"/>
      <c r="G13" s="12" t="s"/>
      <c r="H13" s="12" t="s"/>
      <c r="I13" s="12" t="s"/>
      <c r="J13" s="12" t="s"/>
      <c r="K13" s="12" t="s"/>
      <c r="L13" s="12" t="s"/>
      <c r="M13" s="12" t="s"/>
      <c r="N13" s="12" t="s"/>
      <c r="O13" s="10" t="s"/>
    </row>
    <row r="14" spans="1:15">
      <c r="A14" s="11" t="s"/>
      <c r="B14" s="12" t="s"/>
      <c r="C14" s="12" t="s"/>
      <c r="D14" s="12" t="s"/>
      <c r="E14" s="12" t="s"/>
      <c r="F14" s="12" t="s"/>
      <c r="G14" s="12" t="s"/>
      <c r="H14" s="12" t="s"/>
      <c r="I14" s="12" t="s"/>
      <c r="J14" s="12" t="s"/>
      <c r="K14" s="12" t="s"/>
      <c r="L14" s="12" t="s"/>
      <c r="M14" s="12" t="s"/>
      <c r="N14" s="12" t="s"/>
      <c r="O14" s="10" t="s"/>
    </row>
    <row r="15" spans="1:15">
      <c r="A15" s="11" t="s"/>
      <c r="B15" s="12" t="s"/>
      <c r="C15" s="12" t="s"/>
      <c r="D15" s="12" t="s"/>
      <c r="E15" s="12" t="s"/>
      <c r="F15" s="12" t="s"/>
      <c r="G15" s="12" t="s"/>
      <c r="H15" s="12" t="s"/>
      <c r="I15" s="12" t="s"/>
      <c r="J15" s="12" t="s"/>
      <c r="K15" s="12" t="s"/>
      <c r="L15" s="12" t="s"/>
      <c r="M15" s="12" t="s"/>
      <c r="N15" s="12" t="s"/>
      <c r="O15" s="10" t="s"/>
    </row>
    <row r="16" spans="1:15">
      <c r="A16" s="11" t="s"/>
      <c r="B16" s="12" t="s"/>
      <c r="C16" s="12" t="s"/>
      <c r="D16" s="12" t="s"/>
      <c r="E16" s="12" t="s"/>
      <c r="F16" s="12" t="s"/>
      <c r="G16" s="12" t="s"/>
      <c r="H16" s="12" t="s"/>
      <c r="I16" s="12" t="s"/>
      <c r="J16" s="12" t="s"/>
      <c r="K16" s="12" t="s"/>
      <c r="L16" s="12" t="s"/>
      <c r="M16" s="12" t="s"/>
      <c r="N16" s="12" t="s"/>
      <c r="O16" s="10" t="s"/>
    </row>
    <row r="17" spans="1:15">
      <c r="A17" s="7" t="s">
        <v>20</v>
      </c>
      <c r="B17" s="18" t="s"/>
      <c r="C17" s="15">
        <f>=C5</f>
        <v>15141</v>
      </c>
      <c r="D17" s="15">
        <f>=D5</f>
        <v>15141</v>
      </c>
      <c r="E17" s="15">
        <f>=E5</f>
        <v>15141</v>
      </c>
      <c r="F17" s="15">
        <f>=F5</f>
        <v>15141</v>
      </c>
      <c r="G17" s="15">
        <f>=G5</f>
        <v>15141</v>
      </c>
      <c r="H17" s="15">
        <f>=H5</f>
        <v>15141</v>
      </c>
      <c r="I17" s="15">
        <f>=I5</f>
        <v>15141</v>
      </c>
      <c r="J17" s="15">
        <f>=J5</f>
        <v>15141</v>
      </c>
      <c r="K17" s="15">
        <f>=K5</f>
        <v>15141</v>
      </c>
      <c r="L17" s="15">
        <f>=L5</f>
        <v>15141</v>
      </c>
      <c r="M17" s="15">
        <f>=M5</f>
        <v>15141</v>
      </c>
      <c r="N17" s="15">
        <f>=N5</f>
        <v>15141</v>
      </c>
      <c r="O17" s="15">
        <f>=O5</f>
        <v>181692</v>
      </c>
    </row>
    <row r="18" spans="1:15">
      <c r="A18" s="11" t="s"/>
      <c r="B18" s="12" t="s"/>
      <c r="C18" s="12" t="s"/>
      <c r="D18" s="12" t="s"/>
      <c r="E18" s="12" t="s"/>
      <c r="F18" s="12" t="s"/>
      <c r="G18" s="12" t="s"/>
      <c r="H18" s="12" t="s"/>
      <c r="I18" s="12" t="s"/>
      <c r="J18" s="12" t="s"/>
      <c r="K18" s="12" t="s"/>
      <c r="L18" s="12" t="s"/>
      <c r="M18" s="12" t="s"/>
      <c r="N18" s="12" t="s"/>
      <c r="O18" s="10" t="s"/>
    </row>
    <row r="19" spans="1:15">
      <c r="A19" s="19" t="s">
        <v>21</v>
      </c>
      <c r="B19" s="12" t="s"/>
      <c r="C19" s="12" t="s"/>
      <c r="D19" s="12" t="s"/>
      <c r="E19" s="12" t="s"/>
      <c r="F19" s="12" t="s"/>
      <c r="G19" s="12" t="s"/>
      <c r="H19" s="12" t="s"/>
      <c r="I19" s="12" t="s"/>
      <c r="J19" s="12" t="s"/>
      <c r="K19" s="12" t="s"/>
      <c r="L19" s="12" t="s"/>
      <c r="M19" s="12" t="s"/>
      <c r="N19" s="12" t="s"/>
      <c r="O19" s="10" t="s"/>
    </row>
    <row r="20" spans="1:15">
      <c r="A20" s="11" t="s"/>
      <c r="B20" s="12" t="s"/>
      <c r="C20" s="12" t="s"/>
      <c r="D20" s="12" t="s"/>
      <c r="E20" s="12" t="s"/>
      <c r="F20" s="12" t="s"/>
      <c r="G20" s="12" t="s"/>
      <c r="H20" s="12" t="s"/>
      <c r="I20" s="12" t="s"/>
      <c r="J20" s="12" t="s"/>
      <c r="K20" s="12" t="s"/>
      <c r="L20" s="12" t="s"/>
      <c r="M20" s="12" t="s"/>
      <c r="N20" s="12" t="s"/>
      <c r="O20" s="10" t="s"/>
    </row>
    <row r="21" spans="1:15">
      <c r="A21" s="11" t="s">
        <v>22</v>
      </c>
      <c r="B21" s="12" t="s"/>
      <c r="C21" s="17">
        <v>10</v>
      </c>
      <c r="D21" s="17">
        <v>10</v>
      </c>
      <c r="E21" s="17">
        <v>10</v>
      </c>
      <c r="F21" s="17">
        <v>10</v>
      </c>
      <c r="G21" s="17">
        <v>10</v>
      </c>
      <c r="H21" s="17">
        <v>10</v>
      </c>
      <c r="I21" s="17">
        <v>10</v>
      </c>
      <c r="J21" s="17">
        <v>10</v>
      </c>
      <c r="K21" s="17">
        <v>10</v>
      </c>
      <c r="L21" s="17">
        <v>10</v>
      </c>
      <c r="M21" s="17">
        <v>10</v>
      </c>
      <c r="N21" s="17">
        <v>10</v>
      </c>
      <c r="O21" s="15">
        <v>120</v>
      </c>
    </row>
    <row r="22" spans="1:15">
      <c r="A22" s="11" t="s">
        <v>23</v>
      </c>
      <c r="B22" s="12" t="s"/>
      <c r="C22" s="12" t="s"/>
      <c r="D22" s="12" t="s"/>
      <c r="E22" s="12" t="s"/>
      <c r="F22" s="17">
        <v>880</v>
      </c>
      <c r="G22" s="12" t="s"/>
      <c r="H22" s="12" t="s"/>
      <c r="I22" s="12" t="s"/>
      <c r="J22" s="17">
        <v>880</v>
      </c>
      <c r="K22" s="12" t="s"/>
      <c r="L22" s="12" t="s"/>
      <c r="M22" s="12" t="s"/>
      <c r="N22" s="17">
        <v>880</v>
      </c>
      <c r="O22" s="15">
        <v>2640</v>
      </c>
    </row>
    <row r="23" spans="1:15">
      <c r="A23" s="11" t="s">
        <v>24</v>
      </c>
      <c r="B23" s="12" t="s"/>
      <c r="C23" s="17" t="s"/>
      <c r="D23" s="17" t="s"/>
      <c r="E23" s="17" t="s"/>
      <c r="F23" s="17" t="s"/>
      <c r="G23" s="17" t="s"/>
      <c r="H23" s="17" t="s"/>
      <c r="I23" s="17" t="s"/>
      <c r="J23" s="17" t="s"/>
      <c r="K23" s="17" t="s"/>
      <c r="L23" s="17" t="s"/>
      <c r="M23" s="17" t="s"/>
      <c r="N23" s="17" t="s"/>
      <c r="O23" s="15" t="s"/>
    </row>
    <row r="24" spans="1:15">
      <c r="A24" s="11" t="s">
        <v>25</v>
      </c>
      <c r="B24" s="12" t="s"/>
      <c r="C24" s="12" t="s"/>
      <c r="D24" s="12" t="s"/>
      <c r="E24" s="12" t="s"/>
      <c r="F24" s="12" t="s"/>
      <c r="G24" s="12" t="s"/>
      <c r="H24" s="12" t="s"/>
      <c r="I24" s="12" t="s"/>
      <c r="J24" s="12" t="s"/>
      <c r="K24" s="17">
        <v>28000</v>
      </c>
      <c r="L24" s="12" t="s"/>
      <c r="M24" s="12" t="s"/>
      <c r="N24" s="12" t="s"/>
      <c r="O24" s="15">
        <v>28000</v>
      </c>
    </row>
    <row r="25" spans="1:15">
      <c r="A25" s="11" t="s"/>
      <c r="B25" s="12" t="s"/>
      <c r="C25" s="12" t="s"/>
      <c r="D25" s="12" t="s"/>
      <c r="E25" s="12" t="s"/>
      <c r="F25" s="12" t="s"/>
      <c r="G25" s="12" t="s"/>
      <c r="H25" s="12" t="s"/>
      <c r="I25" s="12" t="s"/>
      <c r="J25" s="12" t="s"/>
      <c r="K25" s="12" t="s"/>
      <c r="L25" s="12" t="s"/>
      <c r="M25" s="12" t="s"/>
      <c r="N25" s="12" t="s"/>
      <c r="O25" s="10" t="s"/>
    </row>
    <row r="26" spans="1:15">
      <c r="A26" s="7" t="s">
        <v>26</v>
      </c>
      <c r="B26" s="8" t="s"/>
      <c r="C26" s="9">
        <f>=C17/11</f>
        <v>1376.45454545455</v>
      </c>
      <c r="D26" s="9">
        <f>=D17/11</f>
        <v>1376.45454545455</v>
      </c>
      <c r="E26" s="9">
        <f>=E17/11</f>
        <v>1376.45454545455</v>
      </c>
      <c r="F26" s="9">
        <f>=F17/11</f>
        <v>1376.45454545455</v>
      </c>
      <c r="G26" s="9">
        <f>=G17/11</f>
        <v>1376.45454545455</v>
      </c>
      <c r="H26" s="9">
        <f>=H17/11</f>
        <v>1376.45454545455</v>
      </c>
      <c r="I26" s="9">
        <f>=I17/11</f>
        <v>1376.45454545455</v>
      </c>
      <c r="J26" s="9">
        <f>=J17/11</f>
        <v>1376.45454545455</v>
      </c>
      <c r="K26" s="9">
        <f>=K17/11</f>
        <v>1376.45454545455</v>
      </c>
      <c r="L26" s="9">
        <f>=L17/11</f>
        <v>1376.45454545455</v>
      </c>
      <c r="M26" s="9">
        <f>=M17/11</f>
        <v>1376.45454545455</v>
      </c>
      <c r="N26" s="9">
        <f>=N17/11</f>
        <v>1376.45454545455</v>
      </c>
      <c r="O26" s="9">
        <f>=O17/11</f>
        <v>16517.4545454545</v>
      </c>
    </row>
    <row r="27" spans="1:15">
      <c r="A27" s="7" t="s">
        <v>27</v>
      </c>
      <c r="B27" s="8" t="s"/>
      <c r="C27" s="9">
        <v>10514.04</v>
      </c>
      <c r="D27" s="9">
        <v>1525.15</v>
      </c>
      <c r="E27" s="9">
        <v>1525.15</v>
      </c>
      <c r="F27" s="9">
        <v>11314.04</v>
      </c>
      <c r="G27" s="9">
        <v>1525.15</v>
      </c>
      <c r="H27" s="9">
        <v>1525.15</v>
      </c>
      <c r="I27" s="9">
        <v>10514.04</v>
      </c>
      <c r="J27" s="9">
        <v>2325.15</v>
      </c>
      <c r="K27" s="9">
        <v>26979.7</v>
      </c>
      <c r="L27" s="9">
        <v>10514.04</v>
      </c>
      <c r="M27" s="9">
        <v>1525.15</v>
      </c>
      <c r="N27" s="9">
        <v>21073.48</v>
      </c>
      <c r="O27" s="15">
        <v>100860.24</v>
      </c>
    </row>
    <row r="28" spans="1:15">
      <c r="A28" s="19" t="s"/>
      <c r="B28" s="12" t="s"/>
      <c r="C28" s="12" t="s"/>
      <c r="D28" s="12" t="s"/>
      <c r="E28" s="12" t="s"/>
      <c r="F28" s="12" t="s"/>
      <c r="G28" s="12" t="s"/>
      <c r="H28" s="12" t="s"/>
      <c r="I28" s="12" t="s"/>
      <c r="J28" s="12" t="s"/>
      <c r="K28" s="12" t="s"/>
      <c r="L28" s="12" t="s"/>
      <c r="M28" s="12" t="s"/>
      <c r="N28" s="12" t="s"/>
      <c r="O28" s="10" t="s"/>
    </row>
    <row r="29" spans="1:15">
      <c r="A29" s="11" t="s"/>
      <c r="B29" s="12" t="s"/>
      <c r="C29" s="12" t="s"/>
      <c r="D29" s="12" t="s"/>
      <c r="E29" s="12" t="s"/>
      <c r="F29" s="12" t="s"/>
      <c r="G29" s="12" t="s"/>
      <c r="H29" s="12" t="s"/>
      <c r="I29" s="12" t="s"/>
      <c r="J29" s="12" t="s"/>
      <c r="K29" s="12" t="s"/>
      <c r="L29" s="12" t="s"/>
      <c r="M29" s="12" t="s"/>
      <c r="N29" s="12" t="s"/>
      <c r="O29" s="10" t="s"/>
    </row>
    <row r="30" spans="1:15">
      <c r="A30" s="20" t="s">
        <v>28</v>
      </c>
      <c r="B30" s="21" t="s"/>
      <c r="C30" s="22">
        <v>238363.72</v>
      </c>
      <c r="D30" s="22">
        <v>236838.57</v>
      </c>
      <c r="E30" s="22">
        <v>235313.42</v>
      </c>
      <c r="F30" s="22">
        <v>322877.14</v>
      </c>
      <c r="G30" s="22">
        <v>321351.99</v>
      </c>
      <c r="H30" s="22">
        <v>319826.84</v>
      </c>
      <c r="I30" s="22">
        <v>408190.56</v>
      </c>
      <c r="J30" s="22">
        <v>405865.41</v>
      </c>
      <c r="K30" s="22">
        <v>378885.71</v>
      </c>
      <c r="L30" s="22">
        <v>467249.44</v>
      </c>
      <c r="M30" s="22">
        <v>465724.29</v>
      </c>
      <c r="N30" s="22">
        <v>650882.43</v>
      </c>
      <c r="O30" s="23">
        <v>4451369.51</v>
      </c>
    </row>
  </sheetData>
  <hyperlinks>
    <hyperlink ref="B5" r:id="rId0"/>
    <hyperlink ref="A6" r:id="rId1"/>
  </hyperlinks>
</worksheet>
</file>

<file path=xl/worksheets/sheet10.xml><?xml version="1.0" encoding="utf-8"?>
<worksheet xmlns:r="http://schemas.openxmlformats.org/officeDocument/2006/relationships" xmlns="http://schemas.openxmlformats.org/spreadsheetml/2006/main">
  <sheetPr codeName="Harvest Cash Flow Budget 2025">
    <tabColor rgb="FFFFFFFF"/>
  </sheetPr>
  <dimension ref="B32"/>
  <sheetViews>
    <sheetView showGridLines="true" workbookViewId="0"/>
  </sheetViews>
  <sheetData>
    <row r="1" spans="1:15">
      <c r="A1" s="56" t="s">
        <v>29</v>
      </c>
      <c r="B1" s="30" t="s"/>
      <c r="C1" s="59">
        <v>45474</v>
      </c>
      <c r="D1" s="59">
        <v>45505</v>
      </c>
      <c r="E1" s="59">
        <v>45536</v>
      </c>
      <c r="F1" s="155">
        <v>45566</v>
      </c>
      <c r="G1" s="59">
        <v>45597</v>
      </c>
      <c r="H1" s="59">
        <v>45627</v>
      </c>
      <c r="I1" s="59">
        <v>45658</v>
      </c>
      <c r="J1" s="59">
        <v>45689</v>
      </c>
      <c r="K1" s="59">
        <v>45717</v>
      </c>
      <c r="L1" s="59">
        <v>45748</v>
      </c>
      <c r="M1" s="59">
        <v>45778</v>
      </c>
      <c r="N1" s="59">
        <v>45809</v>
      </c>
      <c r="O1" s="32" t="s">
        <v>14</v>
      </c>
    </row>
    <row r="2" spans="1:15">
      <c r="A2" s="33" t="s">
        <v>15</v>
      </c>
      <c r="B2" s="34" t="s"/>
      <c r="C2" s="35">
        <v>150000</v>
      </c>
      <c r="D2" s="35">
        <v>238363.72</v>
      </c>
      <c r="E2" s="35">
        <v>236838.57</v>
      </c>
      <c r="F2" s="35">
        <v>235313.42</v>
      </c>
      <c r="G2" s="35">
        <v>322877.14</v>
      </c>
      <c r="H2" s="35">
        <v>321351.99</v>
      </c>
      <c r="I2" s="35">
        <v>319826.84</v>
      </c>
      <c r="J2" s="35">
        <v>408190.56</v>
      </c>
      <c r="K2" s="35">
        <v>405865.41</v>
      </c>
      <c r="L2" s="35">
        <v>378885.71</v>
      </c>
      <c r="M2" s="35">
        <v>467249.44</v>
      </c>
      <c r="N2" s="35">
        <v>465724.29</v>
      </c>
      <c r="O2" s="41" t="s"/>
    </row>
    <row r="3" spans="1:15">
      <c r="A3" s="38" t="s">
        <v>16</v>
      </c>
      <c r="B3" s="39" t="s"/>
      <c r="C3" s="39" t="s"/>
      <c r="D3" s="39" t="s"/>
      <c r="E3" s="39" t="s"/>
      <c r="F3" s="39" t="s"/>
      <c r="G3" s="39" t="s"/>
      <c r="H3" s="39" t="s"/>
      <c r="I3" s="39" t="s"/>
      <c r="J3" s="39" t="s"/>
      <c r="K3" s="39" t="s"/>
      <c r="L3" s="39" t="s"/>
      <c r="M3" s="39" t="s"/>
      <c r="N3" s="39" t="s"/>
      <c r="O3" s="41" t="s"/>
    </row>
    <row r="4" spans="1:15">
      <c r="A4" s="38" t="s">
        <v>30</v>
      </c>
      <c r="B4" s="39" t="s"/>
      <c r="C4" s="39" t="s"/>
      <c r="D4" s="39" t="s"/>
      <c r="E4" s="39" t="s"/>
      <c r="F4" s="39" t="s"/>
      <c r="G4" s="39" t="s"/>
      <c r="H4" s="39" t="s"/>
      <c r="I4" s="39" t="s"/>
      <c r="J4" s="39" t="s"/>
      <c r="K4" s="39" t="s"/>
      <c r="L4" s="39" t="s"/>
      <c r="M4" s="39" t="s"/>
      <c r="N4" s="39" t="s"/>
      <c r="O4" s="41" t="s"/>
    </row>
    <row r="5" spans="1:15">
      <c r="A5" s="45" t="s">
        <v>19</v>
      </c>
      <c r="B5" s="42" t="s">
        <v>31</v>
      </c>
      <c r="C5" s="39" t="s"/>
      <c r="D5" s="39" t="s"/>
      <c r="E5" s="39" t="s"/>
      <c r="F5" s="39" t="s"/>
      <c r="G5" s="39" t="s"/>
      <c r="H5" s="39" t="s"/>
      <c r="I5" s="39" t="s"/>
      <c r="J5" s="39" t="s"/>
      <c r="K5" s="39" t="s"/>
      <c r="L5" s="39" t="s"/>
      <c r="M5" s="39" t="s"/>
      <c r="N5" s="46">
        <v>206231.62</v>
      </c>
      <c r="O5" s="44">
        <v>206231.62</v>
      </c>
    </row>
    <row r="6" spans="1:15">
      <c r="A6" s="45" t="s">
        <v>19</v>
      </c>
      <c r="B6" s="42" t="s">
        <v>32</v>
      </c>
      <c r="C6" s="46">
        <v>102931.75</v>
      </c>
      <c r="D6" s="39" t="s"/>
      <c r="E6" s="39" t="s"/>
      <c r="F6" s="46">
        <v>102931.75</v>
      </c>
      <c r="G6" s="39" t="s"/>
      <c r="H6" s="39" t="s"/>
      <c r="I6" s="46">
        <v>102931.75</v>
      </c>
      <c r="J6" s="39" t="s"/>
      <c r="K6" s="39" t="s"/>
      <c r="L6" s="46">
        <f>=106931.75</f>
        <v>106931.75</v>
      </c>
      <c r="M6" s="39" t="s"/>
      <c r="N6" s="39" t="s"/>
      <c r="O6" s="44">
        <f>=SUM(C6:N6)</f>
        <v>415727</v>
      </c>
    </row>
    <row r="7" spans="1:15">
      <c r="A7" s="38" t="s"/>
      <c r="B7" s="39" t="s"/>
      <c r="C7" s="39" t="s"/>
      <c r="D7" s="39" t="s"/>
      <c r="E7" s="39" t="s"/>
      <c r="F7" s="39" t="s"/>
      <c r="G7" s="39" t="s"/>
      <c r="H7" s="39" t="s"/>
      <c r="I7" s="39" t="s"/>
      <c r="J7" s="39" t="s"/>
      <c r="K7" s="39" t="s"/>
      <c r="L7" s="39" t="s"/>
      <c r="M7" s="39" t="s"/>
      <c r="N7" s="39" t="s"/>
      <c r="O7" s="41" t="s"/>
    </row>
    <row r="8" spans="1:15">
      <c r="A8" s="38" t="s"/>
      <c r="B8" s="39" t="s"/>
      <c r="C8" s="39" t="s"/>
      <c r="D8" s="39" t="s"/>
      <c r="E8" s="39" t="s"/>
      <c r="F8" s="39" t="s"/>
      <c r="G8" s="39" t="s"/>
      <c r="H8" s="39" t="s"/>
      <c r="I8" s="39" t="s"/>
      <c r="J8" s="39" t="s"/>
      <c r="K8" s="39" t="s"/>
      <c r="L8" s="39" t="s"/>
      <c r="M8" s="39" t="s"/>
      <c r="N8" s="39" t="s"/>
      <c r="O8" s="41" t="s"/>
    </row>
    <row r="9" spans="1:15">
      <c r="A9" s="38" t="s"/>
      <c r="B9" s="39" t="s"/>
      <c r="C9" s="39" t="s"/>
      <c r="D9" s="39" t="s"/>
      <c r="E9" s="39" t="s"/>
      <c r="F9" s="39" t="s"/>
      <c r="G9" s="39" t="s"/>
      <c r="H9" s="39" t="s"/>
      <c r="I9" s="39" t="s"/>
      <c r="J9" s="39" t="s"/>
      <c r="K9" s="39" t="s"/>
      <c r="L9" s="39" t="s"/>
      <c r="M9" s="39" t="s"/>
      <c r="N9" s="39" t="s"/>
      <c r="O9" s="41" t="s"/>
    </row>
    <row r="10" spans="1:15">
      <c r="A10" s="38" t="s"/>
      <c r="B10" s="39" t="s"/>
      <c r="C10" s="39" t="s"/>
      <c r="D10" s="39" t="s"/>
      <c r="E10" s="39" t="s"/>
      <c r="F10" s="39" t="s"/>
      <c r="G10" s="39" t="s"/>
      <c r="H10" s="39" t="s"/>
      <c r="I10" s="39" t="s"/>
      <c r="J10" s="39" t="s"/>
      <c r="K10" s="39" t="s"/>
      <c r="L10" s="39" t="s"/>
      <c r="M10" s="39" t="s"/>
      <c r="N10" s="39" t="s"/>
      <c r="O10" s="41" t="s"/>
    </row>
    <row r="11" spans="1:15">
      <c r="A11" s="38" t="s"/>
      <c r="B11" s="39" t="s"/>
      <c r="C11" s="39" t="s"/>
      <c r="D11" s="39" t="s"/>
      <c r="E11" s="39" t="s"/>
      <c r="F11" s="39" t="s"/>
      <c r="G11" s="39" t="s"/>
      <c r="H11" s="39" t="s"/>
      <c r="I11" s="39" t="s"/>
      <c r="J11" s="39" t="s"/>
      <c r="K11" s="39" t="s"/>
      <c r="L11" s="39" t="s"/>
      <c r="M11" s="39" t="s"/>
      <c r="N11" s="39" t="s"/>
      <c r="O11" s="41" t="s"/>
    </row>
    <row r="12" spans="1:15">
      <c r="A12" s="38" t="s"/>
      <c r="B12" s="39" t="s"/>
      <c r="C12" s="39" t="s"/>
      <c r="D12" s="39" t="s"/>
      <c r="E12" s="39" t="s"/>
      <c r="F12" s="39" t="s"/>
      <c r="G12" s="39" t="s"/>
      <c r="H12" s="39" t="s"/>
      <c r="I12" s="39" t="s"/>
      <c r="J12" s="39" t="s"/>
      <c r="K12" s="39" t="s"/>
      <c r="L12" s="39" t="s"/>
      <c r="M12" s="39" t="s"/>
      <c r="N12" s="39" t="s"/>
      <c r="O12" s="41" t="s"/>
    </row>
    <row r="13" spans="1:15">
      <c r="A13" s="38" t="s"/>
      <c r="B13" s="39" t="s"/>
      <c r="C13" s="39" t="s"/>
      <c r="D13" s="39" t="s"/>
      <c r="E13" s="39" t="s"/>
      <c r="F13" s="39" t="s"/>
      <c r="G13" s="39" t="s"/>
      <c r="H13" s="39" t="s"/>
      <c r="I13" s="39" t="s"/>
      <c r="J13" s="39" t="s"/>
      <c r="K13" s="39" t="s"/>
      <c r="L13" s="39" t="s"/>
      <c r="M13" s="39" t="s"/>
      <c r="N13" s="39" t="s"/>
      <c r="O13" s="41" t="s"/>
    </row>
    <row r="14" spans="1:15">
      <c r="A14" s="38" t="s"/>
      <c r="B14" s="39" t="s"/>
      <c r="C14" s="39" t="s"/>
      <c r="D14" s="39" t="s"/>
      <c r="E14" s="39" t="s"/>
      <c r="F14" s="39" t="s"/>
      <c r="G14" s="39" t="s"/>
      <c r="H14" s="39" t="s"/>
      <c r="I14" s="39" t="s"/>
      <c r="J14" s="39" t="s"/>
      <c r="K14" s="39" t="s"/>
      <c r="L14" s="39" t="s"/>
      <c r="M14" s="39" t="s"/>
      <c r="N14" s="39" t="s"/>
      <c r="O14" s="41" t="s"/>
    </row>
    <row r="15" spans="1:15">
      <c r="A15" s="38" t="s"/>
      <c r="B15" s="39" t="s"/>
      <c r="C15" s="39" t="s"/>
      <c r="D15" s="39" t="s"/>
      <c r="E15" s="39" t="s"/>
      <c r="F15" s="39" t="s"/>
      <c r="G15" s="39" t="s"/>
      <c r="H15" s="39" t="s"/>
      <c r="I15" s="39" t="s"/>
      <c r="J15" s="39" t="s"/>
      <c r="K15" s="39" t="s"/>
      <c r="L15" s="39" t="s"/>
      <c r="M15" s="39" t="s"/>
      <c r="N15" s="39" t="s"/>
      <c r="O15" s="41" t="s"/>
    </row>
    <row r="16" spans="1:15">
      <c r="A16" s="38" t="s"/>
      <c r="B16" s="39" t="s"/>
      <c r="C16" s="39" t="s"/>
      <c r="D16" s="39" t="s"/>
      <c r="E16" s="39" t="s"/>
      <c r="F16" s="39" t="s"/>
      <c r="G16" s="39" t="s"/>
      <c r="H16" s="39" t="s"/>
      <c r="I16" s="39" t="s"/>
      <c r="J16" s="39" t="s"/>
      <c r="K16" s="39" t="s"/>
      <c r="L16" s="39" t="s"/>
      <c r="M16" s="39" t="s"/>
      <c r="N16" s="39" t="s"/>
      <c r="O16" s="41" t="s"/>
    </row>
    <row r="17" spans="1:15">
      <c r="A17" s="33" t="s">
        <v>20</v>
      </c>
      <c r="B17" s="47" t="s"/>
      <c r="C17" s="35">
        <v>98877.76</v>
      </c>
      <c r="D17" s="34" t="s">
        <v>33</v>
      </c>
      <c r="E17" s="34" t="s">
        <v>33</v>
      </c>
      <c r="F17" s="35">
        <v>98877.76</v>
      </c>
      <c r="G17" s="34" t="s">
        <v>33</v>
      </c>
      <c r="H17" s="34" t="s">
        <v>33</v>
      </c>
      <c r="I17" s="35">
        <v>98877.76</v>
      </c>
      <c r="J17" s="34" t="s">
        <v>33</v>
      </c>
      <c r="K17" s="34" t="s">
        <v>33</v>
      </c>
      <c r="L17" s="35">
        <f>=L6</f>
        <v>106931.75</v>
      </c>
      <c r="M17" s="34" t="s">
        <v>33</v>
      </c>
      <c r="N17" s="35">
        <v>206231.62</v>
      </c>
      <c r="O17" s="44">
        <f>=SUM(C17:N17)</f>
        <v>609796.65</v>
      </c>
    </row>
    <row r="18" spans="1:15">
      <c r="A18" s="38" t="s"/>
      <c r="B18" s="39" t="s"/>
      <c r="C18" s="39" t="s"/>
      <c r="D18" s="39" t="s"/>
      <c r="E18" s="39" t="s"/>
      <c r="F18" s="39" t="s"/>
      <c r="G18" s="39" t="s"/>
      <c r="H18" s="39" t="s"/>
      <c r="I18" s="39" t="s"/>
      <c r="J18" s="39" t="s"/>
      <c r="K18" s="39" t="s"/>
      <c r="L18" s="39" t="s"/>
      <c r="M18" s="39" t="s"/>
      <c r="N18" s="39" t="s"/>
      <c r="O18" s="41" t="s"/>
    </row>
    <row r="19" spans="1:15">
      <c r="A19" s="48" t="s">
        <v>21</v>
      </c>
      <c r="B19" s="39" t="s"/>
      <c r="C19" s="39" t="s"/>
      <c r="D19" s="39" t="s"/>
      <c r="E19" s="39" t="s"/>
      <c r="F19" s="39" t="s"/>
      <c r="G19" s="39" t="s"/>
      <c r="H19" s="39" t="s"/>
      <c r="I19" s="39" t="s"/>
      <c r="J19" s="39" t="s"/>
      <c r="K19" s="39" t="s"/>
      <c r="L19" s="39" t="s"/>
      <c r="M19" s="39" t="s"/>
      <c r="N19" s="39" t="s"/>
      <c r="O19" s="41" t="s"/>
    </row>
    <row r="20" spans="1:15">
      <c r="A20" s="38" t="s"/>
      <c r="B20" s="39" t="s"/>
      <c r="C20" s="39" t="s"/>
      <c r="D20" s="39" t="s"/>
      <c r="E20" s="39" t="s"/>
      <c r="F20" s="39" t="s"/>
      <c r="G20" s="39" t="s"/>
      <c r="H20" s="39" t="s"/>
      <c r="I20" s="39" t="s"/>
      <c r="J20" s="39" t="s"/>
      <c r="K20" s="39" t="s"/>
      <c r="L20" s="39" t="s"/>
      <c r="M20" s="39" t="s"/>
      <c r="N20" s="39" t="s"/>
      <c r="O20" s="41" t="s"/>
    </row>
    <row r="21" spans="1:15">
      <c r="A21" s="38" t="s">
        <v>22</v>
      </c>
      <c r="B21" s="39" t="s"/>
      <c r="C21" s="46">
        <v>10</v>
      </c>
      <c r="D21" s="46">
        <v>10</v>
      </c>
      <c r="E21" s="46">
        <v>10</v>
      </c>
      <c r="F21" s="46">
        <v>10</v>
      </c>
      <c r="G21" s="46">
        <v>10</v>
      </c>
      <c r="H21" s="46">
        <v>10</v>
      </c>
      <c r="I21" s="46">
        <v>10</v>
      </c>
      <c r="J21" s="46">
        <v>10</v>
      </c>
      <c r="K21" s="46">
        <v>10</v>
      </c>
      <c r="L21" s="46">
        <v>10</v>
      </c>
      <c r="M21" s="46">
        <v>10</v>
      </c>
      <c r="N21" s="46">
        <v>10</v>
      </c>
      <c r="O21" s="44">
        <v>120</v>
      </c>
    </row>
    <row r="22" spans="1:15">
      <c r="A22" s="38" t="s">
        <v>23</v>
      </c>
      <c r="B22" s="39" t="s"/>
      <c r="C22" s="39" t="s"/>
      <c r="D22" s="39" t="s"/>
      <c r="E22" s="39" t="s"/>
      <c r="F22" s="46">
        <v>880</v>
      </c>
      <c r="G22" s="39" t="s"/>
      <c r="H22" s="39" t="s"/>
      <c r="I22" s="39" t="s"/>
      <c r="J22" s="46">
        <v>880</v>
      </c>
      <c r="K22" s="39" t="s"/>
      <c r="L22" s="39" t="s"/>
      <c r="M22" s="39" t="s"/>
      <c r="N22" s="46">
        <v>880</v>
      </c>
      <c r="O22" s="44">
        <v>2640</v>
      </c>
    </row>
    <row r="23" spans="1:15">
      <c r="A23" s="38" t="s">
        <v>24</v>
      </c>
      <c r="B23" s="39" t="s"/>
      <c r="C23" s="46">
        <v>1666.67</v>
      </c>
      <c r="D23" s="46">
        <v>1666.67</v>
      </c>
      <c r="E23" s="46">
        <v>1666.67</v>
      </c>
      <c r="F23" s="46">
        <v>1666.67</v>
      </c>
      <c r="G23" s="46">
        <v>1666.67</v>
      </c>
      <c r="H23" s="46">
        <v>1666.67</v>
      </c>
      <c r="I23" s="46">
        <v>1666.67</v>
      </c>
      <c r="J23" s="46">
        <v>1666.67</v>
      </c>
      <c r="K23" s="46">
        <v>1666.67</v>
      </c>
      <c r="L23" s="46">
        <v>1666.67</v>
      </c>
      <c r="M23" s="46">
        <v>1666.67</v>
      </c>
      <c r="N23" s="46">
        <v>1666.67</v>
      </c>
      <c r="O23" s="44">
        <v>20000</v>
      </c>
    </row>
    <row r="24" spans="1:15">
      <c r="A24" s="38" t="s">
        <v>25</v>
      </c>
      <c r="B24" s="39" t="s"/>
      <c r="C24" s="39" t="s"/>
      <c r="D24" s="39" t="s"/>
      <c r="E24" s="39" t="s"/>
      <c r="F24" s="39" t="s"/>
      <c r="G24" s="39" t="s"/>
      <c r="H24" s="39" t="s"/>
      <c r="I24" s="39" t="s"/>
      <c r="J24" s="39" t="s"/>
      <c r="K24" s="46">
        <v>28000</v>
      </c>
      <c r="L24" s="39" t="s"/>
      <c r="M24" s="39" t="s"/>
      <c r="N24" s="39" t="s"/>
      <c r="O24" s="44">
        <v>28000</v>
      </c>
    </row>
    <row r="25" spans="1:15">
      <c r="A25" s="38" t="s"/>
      <c r="B25" s="39" t="s"/>
      <c r="C25" s="39" t="s"/>
      <c r="D25" s="39" t="s"/>
      <c r="E25" s="39" t="s"/>
      <c r="F25" s="39" t="s"/>
      <c r="G25" s="39" t="s"/>
      <c r="H25" s="39" t="s"/>
      <c r="I25" s="39" t="s"/>
      <c r="J25" s="39" t="s"/>
      <c r="K25" s="39" t="s"/>
      <c r="L25" s="39" t="s"/>
      <c r="M25" s="39" t="s"/>
      <c r="N25" s="39" t="s"/>
      <c r="O25" s="41" t="s"/>
    </row>
    <row r="26" spans="1:15">
      <c r="A26" s="33" t="s">
        <v>26</v>
      </c>
      <c r="B26" s="34" t="s"/>
      <c r="C26" s="35">
        <v>8837.37</v>
      </c>
      <c r="D26" s="35">
        <v>-151.52</v>
      </c>
      <c r="E26" s="35">
        <v>-151.52</v>
      </c>
      <c r="F26" s="35">
        <v>8757.37</v>
      </c>
      <c r="G26" s="35">
        <v>-151.52</v>
      </c>
      <c r="H26" s="35">
        <v>-151.52</v>
      </c>
      <c r="I26" s="35">
        <v>8837.37</v>
      </c>
      <c r="J26" s="35">
        <v>-231.52</v>
      </c>
      <c r="K26" s="35">
        <v>-2696.97</v>
      </c>
      <c r="L26" s="35">
        <v>8837.37</v>
      </c>
      <c r="M26" s="35">
        <v>-151.52</v>
      </c>
      <c r="N26" s="35">
        <v>18516.81</v>
      </c>
      <c r="O26" s="44">
        <v>50100.24</v>
      </c>
    </row>
    <row r="27" spans="1:15">
      <c r="A27" s="33" t="s">
        <v>27</v>
      </c>
      <c r="B27" s="34" t="s"/>
      <c r="C27" s="35">
        <v>10514.04</v>
      </c>
      <c r="D27" s="35">
        <v>1525.15</v>
      </c>
      <c r="E27" s="35">
        <v>1525.15</v>
      </c>
      <c r="F27" s="35">
        <v>11314.04</v>
      </c>
      <c r="G27" s="35">
        <v>1525.15</v>
      </c>
      <c r="H27" s="35">
        <v>1525.15</v>
      </c>
      <c r="I27" s="35">
        <v>10514.04</v>
      </c>
      <c r="J27" s="35">
        <v>2325.15</v>
      </c>
      <c r="K27" s="35">
        <v>26979.7</v>
      </c>
      <c r="L27" s="35">
        <v>10514.04</v>
      </c>
      <c r="M27" s="35">
        <v>1525.15</v>
      </c>
      <c r="N27" s="35">
        <v>21073.48</v>
      </c>
      <c r="O27" s="44">
        <v>100860.24</v>
      </c>
    </row>
    <row r="28" spans="1:15">
      <c r="A28" s="48" t="s"/>
      <c r="B28" s="39" t="s"/>
      <c r="C28" s="39" t="s"/>
      <c r="D28" s="39" t="s"/>
      <c r="E28" s="39" t="s"/>
      <c r="F28" s="39" t="s"/>
      <c r="G28" s="39" t="s"/>
      <c r="H28" s="39" t="s"/>
      <c r="I28" s="39" t="s"/>
      <c r="J28" s="39" t="s"/>
      <c r="K28" s="39" t="s"/>
      <c r="L28" s="39" t="s"/>
      <c r="M28" s="39" t="s"/>
      <c r="N28" s="39" t="s"/>
      <c r="O28" s="41" t="s"/>
    </row>
    <row r="29" spans="1:15">
      <c r="A29" s="38" t="s"/>
      <c r="B29" s="39" t="s"/>
      <c r="C29" s="39" t="s"/>
      <c r="D29" s="39" t="s"/>
      <c r="E29" s="39" t="s"/>
      <c r="F29" s="39" t="s"/>
      <c r="G29" s="39" t="s"/>
      <c r="H29" s="39" t="s"/>
      <c r="I29" s="39" t="s"/>
      <c r="J29" s="39" t="s"/>
      <c r="K29" s="39" t="s"/>
      <c r="L29" s="39" t="s"/>
      <c r="M29" s="39" t="s"/>
      <c r="N29" s="39" t="s"/>
      <c r="O29" s="41" t="s"/>
    </row>
    <row r="30" spans="1:15">
      <c r="A30" s="51" t="s">
        <v>28</v>
      </c>
      <c r="B30" s="52" t="s"/>
      <c r="C30" s="53">
        <v>238363.72</v>
      </c>
      <c r="D30" s="53">
        <v>236838.57</v>
      </c>
      <c r="E30" s="53">
        <v>235313.42</v>
      </c>
      <c r="F30" s="53">
        <v>322877.14</v>
      </c>
      <c r="G30" s="53">
        <v>321351.99</v>
      </c>
      <c r="H30" s="53">
        <v>319826.84</v>
      </c>
      <c r="I30" s="53">
        <v>408190.56</v>
      </c>
      <c r="J30" s="53">
        <v>405865.41</v>
      </c>
      <c r="K30" s="53">
        <v>378885.71</v>
      </c>
      <c r="L30" s="53">
        <v>467249.44</v>
      </c>
      <c r="M30" s="53">
        <v>465724.29</v>
      </c>
      <c r="N30" s="53">
        <v>650882.43</v>
      </c>
      <c r="O30" s="55">
        <v>4451369.51</v>
      </c>
    </row>
    <row r="31" spans="8:15">
      <c r="H31" s="156">
        <v>187148.64</v>
      </c>
      <c r="K31" s="156">
        <v>93574.32</v>
      </c>
      <c r="O31" s="104">
        <f>=SUM(C31:N31)</f>
        <v>280722.96</v>
      </c>
    </row>
    <row r="32" spans="1:2">
      <c r="A32" t="s">
        <v>34</v>
      </c>
      <c r="B32" t="s">
        <v>55</v>
      </c>
    </row>
  </sheetData>
  <hyperlinks>
    <hyperlink ref="A5" r:id="rId3"/>
    <hyperlink ref="B5" r:id="rId4"/>
    <hyperlink ref="A6" r:id="rId5"/>
    <hyperlink ref="B6" r:id="rId6"/>
  </hyperlinks>
  <legacy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2026-07-17T11:30:54Z</dcterms:created>
  <dcterms:modified xsi:type="dcterms:W3CDTF">2026-07-17T11:30:54Z</dcterms:modified>
</cp:coreProperties>
</file>